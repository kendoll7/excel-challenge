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obba\OneDrive\Documents\BOOTCAMP\Module Challenges\Module 1\"/>
    </mc:Choice>
  </mc:AlternateContent>
  <xr:revisionPtr revIDLastSave="0" documentId="13_ncr:1_{5F336E07-0525-4A1F-A36F-29D38CD4FFA1}" xr6:coauthVersionLast="47" xr6:coauthVersionMax="47" xr10:uidLastSave="{00000000-0000-0000-0000-000000000000}"/>
  <bookViews>
    <workbookView xWindow="-28920" yWindow="-240" windowWidth="29040" windowHeight="15720" activeTab="5" xr2:uid="{00000000-000D-0000-FFFF-FFFF00000000}"/>
  </bookViews>
  <sheets>
    <sheet name="Crowdfunding" sheetId="1" r:id="rId1"/>
    <sheet name="By Parent Category" sheetId="3" r:id="rId2"/>
    <sheet name="By Sub Category" sheetId="4" r:id="rId3"/>
    <sheet name="By Date Created" sheetId="5" r:id="rId4"/>
    <sheet name="Goals" sheetId="6" r:id="rId5"/>
    <sheet name="Summary Statistics" sheetId="7" r:id="rId6"/>
  </sheets>
  <definedNames>
    <definedName name="_xlnm._FilterDatabase" localSheetId="0" hidden="1">Crowdfunding!$A$1:$U$1001</definedName>
    <definedName name="_xlchart.v1.0" hidden="1">'Summary Statistics'!$E$1</definedName>
    <definedName name="_xlchart.v1.1" hidden="1">'Summary Statistics'!$E$2:$E$566</definedName>
    <definedName name="_xlchart.v1.2" hidden="1">'Summary Statistics'!$A$1</definedName>
    <definedName name="_xlchart.v1.3" hidden="1">'Summary Statistics'!$A$2:$A$566</definedName>
  </definedNames>
  <calcPr calcId="191029"/>
  <pivotCaches>
    <pivotCache cacheId="0" r:id="rId7"/>
    <pivotCache cacheId="1" r:id="rId8"/>
    <pivotCache cacheId="2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9" i="1" l="1" a="1"/>
  <c r="S9" i="1" s="1"/>
  <c r="D5" i="7"/>
  <c r="D4" i="7"/>
  <c r="D3" i="7"/>
  <c r="D2" i="7"/>
  <c r="H7" i="7"/>
  <c r="H6" i="7"/>
  <c r="H5" i="7"/>
  <c r="H4" i="7"/>
  <c r="H3" i="7"/>
  <c r="H2" i="7"/>
  <c r="D7" i="7"/>
  <c r="D6" i="7"/>
  <c r="D13" i="6"/>
  <c r="H13" i="6" s="1"/>
  <c r="D12" i="6"/>
  <c r="H12" i="6" s="1"/>
  <c r="D11" i="6"/>
  <c r="H11" i="6" s="1"/>
  <c r="D10" i="6"/>
  <c r="H10" i="6" s="1"/>
  <c r="D9" i="6"/>
  <c r="H9" i="6" s="1"/>
  <c r="D8" i="6"/>
  <c r="H8" i="6" s="1"/>
  <c r="D7" i="6"/>
  <c r="H7" i="6" s="1"/>
  <c r="D6" i="6"/>
  <c r="H6" i="6" s="1"/>
  <c r="D5" i="6"/>
  <c r="H5" i="6" s="1"/>
  <c r="D4" i="6"/>
  <c r="H4" i="6" s="1"/>
  <c r="D3" i="6"/>
  <c r="H3" i="6" s="1"/>
  <c r="D2" i="6"/>
  <c r="H2" i="6" s="1"/>
  <c r="C13" i="6"/>
  <c r="C12" i="6"/>
  <c r="C11" i="6"/>
  <c r="C10" i="6"/>
  <c r="C9" i="6"/>
  <c r="C8" i="6"/>
  <c r="C7" i="6"/>
  <c r="C6" i="6"/>
  <c r="C5" i="6"/>
  <c r="C4" i="6"/>
  <c r="C3" i="6"/>
  <c r="C2" i="6"/>
  <c r="B13" i="6"/>
  <c r="B12" i="6"/>
  <c r="B11" i="6"/>
  <c r="E11" i="6" s="1"/>
  <c r="B10" i="6"/>
  <c r="B9" i="6"/>
  <c r="B8" i="6"/>
  <c r="B7" i="6"/>
  <c r="B6" i="6"/>
  <c r="B5" i="6"/>
  <c r="B4" i="6"/>
  <c r="B3" i="6"/>
  <c r="E3" i="6" s="1"/>
  <c r="B2" i="6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2" i="1"/>
  <c r="S3" i="1" a="1"/>
  <c r="S3" i="1" s="1"/>
  <c r="S4" i="1" a="1"/>
  <c r="S4" i="1" s="1"/>
  <c r="S5" i="1" a="1"/>
  <c r="S5" i="1" s="1"/>
  <c r="S6" i="1" a="1"/>
  <c r="S6" i="1" s="1"/>
  <c r="S7" i="1" a="1"/>
  <c r="S7" i="1" s="1"/>
  <c r="S8" i="1" a="1"/>
  <c r="S8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37" i="1" a="1"/>
  <c r="S37" i="1" s="1"/>
  <c r="S38" i="1" a="1"/>
  <c r="S38" i="1" s="1"/>
  <c r="S39" i="1" a="1"/>
  <c r="S39" i="1" s="1"/>
  <c r="S40" i="1" a="1"/>
  <c r="S40" i="1" s="1"/>
  <c r="S41" i="1" a="1"/>
  <c r="S41" i="1" s="1"/>
  <c r="S42" i="1" a="1"/>
  <c r="S42" i="1" s="1"/>
  <c r="S43" i="1" a="1"/>
  <c r="S43" i="1" s="1"/>
  <c r="S44" i="1" a="1"/>
  <c r="S44" i="1" s="1"/>
  <c r="S45" i="1" a="1"/>
  <c r="S45" i="1" s="1"/>
  <c r="S46" i="1" a="1"/>
  <c r="S46" i="1" s="1"/>
  <c r="S47" i="1" a="1"/>
  <c r="S47" i="1" s="1"/>
  <c r="S48" i="1" a="1"/>
  <c r="S48" i="1" s="1"/>
  <c r="S49" i="1" a="1"/>
  <c r="S49" i="1" s="1"/>
  <c r="S50" i="1" a="1"/>
  <c r="S50" i="1" s="1"/>
  <c r="S51" i="1" a="1"/>
  <c r="S51" i="1" s="1"/>
  <c r="S52" i="1" a="1"/>
  <c r="S52" i="1" s="1"/>
  <c r="S53" i="1" a="1"/>
  <c r="S53" i="1" s="1"/>
  <c r="S54" i="1" a="1"/>
  <c r="S54" i="1" s="1"/>
  <c r="S55" i="1" a="1"/>
  <c r="S55" i="1" s="1"/>
  <c r="S56" i="1" a="1"/>
  <c r="S56" i="1" s="1"/>
  <c r="S57" i="1" a="1"/>
  <c r="S57" i="1" s="1"/>
  <c r="S58" i="1" a="1"/>
  <c r="S58" i="1" s="1"/>
  <c r="S59" i="1" a="1"/>
  <c r="S59" i="1" s="1"/>
  <c r="S60" i="1" a="1"/>
  <c r="S60" i="1" s="1"/>
  <c r="S61" i="1" a="1"/>
  <c r="S61" i="1" s="1"/>
  <c r="S62" i="1" a="1"/>
  <c r="S62" i="1" s="1"/>
  <c r="S63" i="1" a="1"/>
  <c r="S63" i="1" s="1"/>
  <c r="S64" i="1" a="1"/>
  <c r="S64" i="1" s="1"/>
  <c r="S65" i="1" a="1"/>
  <c r="S65" i="1" s="1"/>
  <c r="S66" i="1" a="1"/>
  <c r="S66" i="1" s="1"/>
  <c r="S67" i="1" a="1"/>
  <c r="S67" i="1" s="1"/>
  <c r="S68" i="1" a="1"/>
  <c r="S68" i="1" s="1"/>
  <c r="S69" i="1" a="1"/>
  <c r="S69" i="1" s="1"/>
  <c r="S70" i="1" a="1"/>
  <c r="S70" i="1" s="1"/>
  <c r="S71" i="1" a="1"/>
  <c r="S71" i="1" s="1"/>
  <c r="S72" i="1" a="1"/>
  <c r="S72" i="1" s="1"/>
  <c r="S73" i="1" a="1"/>
  <c r="S73" i="1" s="1"/>
  <c r="S74" i="1" a="1"/>
  <c r="S74" i="1" s="1"/>
  <c r="S75" i="1" a="1"/>
  <c r="S75" i="1" s="1"/>
  <c r="S76" i="1" a="1"/>
  <c r="S76" i="1" s="1"/>
  <c r="S77" i="1" a="1"/>
  <c r="S77" i="1" s="1"/>
  <c r="S78" i="1" a="1"/>
  <c r="S78" i="1" s="1"/>
  <c r="S79" i="1" a="1"/>
  <c r="S79" i="1" s="1"/>
  <c r="S80" i="1" a="1"/>
  <c r="S80" i="1" s="1"/>
  <c r="S81" i="1" a="1"/>
  <c r="S81" i="1" s="1"/>
  <c r="S82" i="1" a="1"/>
  <c r="S82" i="1" s="1"/>
  <c r="S83" i="1" a="1"/>
  <c r="S83" i="1" s="1"/>
  <c r="S84" i="1" a="1"/>
  <c r="S84" i="1" s="1"/>
  <c r="S85" i="1" a="1"/>
  <c r="S85" i="1" s="1"/>
  <c r="S86" i="1" a="1"/>
  <c r="S86" i="1" s="1"/>
  <c r="S87" i="1" a="1"/>
  <c r="S87" i="1" s="1"/>
  <c r="S88" i="1" a="1"/>
  <c r="S88" i="1" s="1"/>
  <c r="S89" i="1" a="1"/>
  <c r="S89" i="1" s="1"/>
  <c r="S90" i="1" a="1"/>
  <c r="S90" i="1" s="1"/>
  <c r="S91" i="1" a="1"/>
  <c r="S91" i="1" s="1"/>
  <c r="S92" i="1" a="1"/>
  <c r="S92" i="1" s="1"/>
  <c r="S93" i="1" a="1"/>
  <c r="S93" i="1" s="1"/>
  <c r="S94" i="1" a="1"/>
  <c r="S94" i="1" s="1"/>
  <c r="S95" i="1" a="1"/>
  <c r="S95" i="1" s="1"/>
  <c r="S96" i="1" a="1"/>
  <c r="S96" i="1" s="1"/>
  <c r="S97" i="1" a="1"/>
  <c r="S97" i="1" s="1"/>
  <c r="S98" i="1" a="1"/>
  <c r="S98" i="1" s="1"/>
  <c r="S99" i="1" a="1"/>
  <c r="S99" i="1" s="1"/>
  <c r="S100" i="1" a="1"/>
  <c r="S100" i="1" s="1"/>
  <c r="S101" i="1" a="1"/>
  <c r="S101" i="1" s="1"/>
  <c r="S102" i="1" a="1"/>
  <c r="S102" i="1" s="1"/>
  <c r="S103" i="1" a="1"/>
  <c r="S103" i="1" s="1"/>
  <c r="S104" i="1" a="1"/>
  <c r="S104" i="1" s="1"/>
  <c r="S105" i="1" a="1"/>
  <c r="S105" i="1" s="1"/>
  <c r="S106" i="1" a="1"/>
  <c r="S106" i="1" s="1"/>
  <c r="S107" i="1" a="1"/>
  <c r="S107" i="1" s="1"/>
  <c r="S108" i="1" a="1"/>
  <c r="S108" i="1" s="1"/>
  <c r="S109" i="1" a="1"/>
  <c r="S109" i="1" s="1"/>
  <c r="S110" i="1" a="1"/>
  <c r="S110" i="1" s="1"/>
  <c r="S111" i="1" a="1"/>
  <c r="S111" i="1" s="1"/>
  <c r="S112" i="1" a="1"/>
  <c r="S112" i="1" s="1"/>
  <c r="S113" i="1" a="1"/>
  <c r="S113" i="1" s="1"/>
  <c r="S114" i="1" a="1"/>
  <c r="S114" i="1" s="1"/>
  <c r="S115" i="1" a="1"/>
  <c r="S115" i="1" s="1"/>
  <c r="S116" i="1" a="1"/>
  <c r="S116" i="1" s="1"/>
  <c r="S117" i="1" a="1"/>
  <c r="S117" i="1" s="1"/>
  <c r="S118" i="1" a="1"/>
  <c r="S118" i="1" s="1"/>
  <c r="S119" i="1" a="1"/>
  <c r="S119" i="1" s="1"/>
  <c r="S120" i="1" a="1"/>
  <c r="S120" i="1" s="1"/>
  <c r="S121" i="1" a="1"/>
  <c r="S121" i="1" s="1"/>
  <c r="S122" i="1" a="1"/>
  <c r="S122" i="1" s="1"/>
  <c r="S123" i="1" a="1"/>
  <c r="S123" i="1" s="1"/>
  <c r="S124" i="1" a="1"/>
  <c r="S124" i="1" s="1"/>
  <c r="S125" i="1" a="1"/>
  <c r="S125" i="1" s="1"/>
  <c r="S126" i="1" a="1"/>
  <c r="S126" i="1" s="1"/>
  <c r="S127" i="1" a="1"/>
  <c r="S127" i="1" s="1"/>
  <c r="S128" i="1" a="1"/>
  <c r="S128" i="1" s="1"/>
  <c r="S129" i="1" a="1"/>
  <c r="S129" i="1" s="1"/>
  <c r="S130" i="1" a="1"/>
  <c r="S130" i="1" s="1"/>
  <c r="S131" i="1" a="1"/>
  <c r="S131" i="1" s="1"/>
  <c r="S132" i="1" a="1"/>
  <c r="S132" i="1" s="1"/>
  <c r="S133" i="1" a="1"/>
  <c r="S133" i="1" s="1"/>
  <c r="S134" i="1" a="1"/>
  <c r="S134" i="1" s="1"/>
  <c r="S135" i="1" a="1"/>
  <c r="S135" i="1" s="1"/>
  <c r="S136" i="1" a="1"/>
  <c r="S136" i="1" s="1"/>
  <c r="S137" i="1" a="1"/>
  <c r="S137" i="1" s="1"/>
  <c r="S138" i="1" a="1"/>
  <c r="S138" i="1" s="1"/>
  <c r="S139" i="1" a="1"/>
  <c r="S139" i="1" s="1"/>
  <c r="S140" i="1" a="1"/>
  <c r="S140" i="1" s="1"/>
  <c r="S141" i="1" a="1"/>
  <c r="S141" i="1" s="1"/>
  <c r="S142" i="1" a="1"/>
  <c r="S142" i="1" s="1"/>
  <c r="S143" i="1" a="1"/>
  <c r="S143" i="1" s="1"/>
  <c r="S144" i="1" a="1"/>
  <c r="S144" i="1" s="1"/>
  <c r="S145" i="1" a="1"/>
  <c r="S145" i="1" s="1"/>
  <c r="S146" i="1" a="1"/>
  <c r="S146" i="1" s="1"/>
  <c r="S147" i="1" a="1"/>
  <c r="S147" i="1" s="1"/>
  <c r="S148" i="1" a="1"/>
  <c r="S148" i="1" s="1"/>
  <c r="S149" i="1" a="1"/>
  <c r="S149" i="1" s="1"/>
  <c r="S150" i="1" a="1"/>
  <c r="S150" i="1" s="1"/>
  <c r="S151" i="1" a="1"/>
  <c r="S151" i="1" s="1"/>
  <c r="S152" i="1" a="1"/>
  <c r="S152" i="1" s="1"/>
  <c r="S153" i="1" a="1"/>
  <c r="S153" i="1" s="1"/>
  <c r="S154" i="1" a="1"/>
  <c r="S154" i="1" s="1"/>
  <c r="S155" i="1" a="1"/>
  <c r="S155" i="1" s="1"/>
  <c r="S156" i="1" a="1"/>
  <c r="S156" i="1" s="1"/>
  <c r="S157" i="1" a="1"/>
  <c r="S157" i="1" s="1"/>
  <c r="S158" i="1" a="1"/>
  <c r="S158" i="1" s="1"/>
  <c r="S159" i="1" a="1"/>
  <c r="S159" i="1" s="1"/>
  <c r="S160" i="1" a="1"/>
  <c r="S160" i="1" s="1"/>
  <c r="S161" i="1" a="1"/>
  <c r="S161" i="1" s="1"/>
  <c r="S162" i="1" a="1"/>
  <c r="S162" i="1" s="1"/>
  <c r="S163" i="1" a="1"/>
  <c r="S163" i="1" s="1"/>
  <c r="S164" i="1" a="1"/>
  <c r="S164" i="1" s="1"/>
  <c r="S165" i="1" a="1"/>
  <c r="S165" i="1" s="1"/>
  <c r="S166" i="1" a="1"/>
  <c r="S166" i="1" s="1"/>
  <c r="S167" i="1" a="1"/>
  <c r="S167" i="1" s="1"/>
  <c r="S168" i="1" a="1"/>
  <c r="S168" i="1" s="1"/>
  <c r="S169" i="1" a="1"/>
  <c r="S169" i="1" s="1"/>
  <c r="S170" i="1" a="1"/>
  <c r="S170" i="1" s="1"/>
  <c r="S171" i="1" a="1"/>
  <c r="S171" i="1" s="1"/>
  <c r="S172" i="1" a="1"/>
  <c r="S172" i="1" s="1"/>
  <c r="S173" i="1" a="1"/>
  <c r="S173" i="1" s="1"/>
  <c r="S174" i="1" a="1"/>
  <c r="S174" i="1" s="1"/>
  <c r="S175" i="1" a="1"/>
  <c r="S175" i="1" s="1"/>
  <c r="S176" i="1" a="1"/>
  <c r="S176" i="1" s="1"/>
  <c r="S177" i="1" a="1"/>
  <c r="S177" i="1" s="1"/>
  <c r="S178" i="1" a="1"/>
  <c r="S178" i="1" s="1"/>
  <c r="S179" i="1" a="1"/>
  <c r="S179" i="1" s="1"/>
  <c r="S180" i="1" a="1"/>
  <c r="S180" i="1" s="1"/>
  <c r="S181" i="1" a="1"/>
  <c r="S181" i="1" s="1"/>
  <c r="S182" i="1" a="1"/>
  <c r="S182" i="1" s="1"/>
  <c r="S183" i="1" a="1"/>
  <c r="S183" i="1" s="1"/>
  <c r="S184" i="1" a="1"/>
  <c r="S184" i="1" s="1"/>
  <c r="S185" i="1" a="1"/>
  <c r="S185" i="1" s="1"/>
  <c r="S186" i="1" a="1"/>
  <c r="S186" i="1" s="1"/>
  <c r="S187" i="1" a="1"/>
  <c r="S187" i="1" s="1"/>
  <c r="S188" i="1" a="1"/>
  <c r="S188" i="1" s="1"/>
  <c r="S189" i="1" a="1"/>
  <c r="S189" i="1" s="1"/>
  <c r="S190" i="1" a="1"/>
  <c r="S190" i="1" s="1"/>
  <c r="S191" i="1" a="1"/>
  <c r="S191" i="1" s="1"/>
  <c r="S192" i="1" a="1"/>
  <c r="S192" i="1" s="1"/>
  <c r="S193" i="1" a="1"/>
  <c r="S193" i="1" s="1"/>
  <c r="S194" i="1" a="1"/>
  <c r="S194" i="1" s="1"/>
  <c r="S195" i="1" a="1"/>
  <c r="S195" i="1" s="1"/>
  <c r="S196" i="1" a="1"/>
  <c r="S196" i="1" s="1"/>
  <c r="S197" i="1" a="1"/>
  <c r="S197" i="1" s="1"/>
  <c r="S198" i="1" a="1"/>
  <c r="S198" i="1" s="1"/>
  <c r="S199" i="1" a="1"/>
  <c r="S199" i="1" s="1"/>
  <c r="S200" i="1" a="1"/>
  <c r="S200" i="1" s="1"/>
  <c r="S201" i="1" a="1"/>
  <c r="S201" i="1" s="1"/>
  <c r="S202" i="1" a="1"/>
  <c r="S202" i="1" s="1"/>
  <c r="S203" i="1" a="1"/>
  <c r="S203" i="1" s="1"/>
  <c r="S204" i="1" a="1"/>
  <c r="S204" i="1" s="1"/>
  <c r="S205" i="1" a="1"/>
  <c r="S205" i="1" s="1"/>
  <c r="S206" i="1" a="1"/>
  <c r="S206" i="1" s="1"/>
  <c r="S207" i="1" a="1"/>
  <c r="S207" i="1" s="1"/>
  <c r="S208" i="1" a="1"/>
  <c r="S208" i="1" s="1"/>
  <c r="S209" i="1" a="1"/>
  <c r="S209" i="1" s="1"/>
  <c r="S210" i="1" a="1"/>
  <c r="S210" i="1" s="1"/>
  <c r="S211" i="1" a="1"/>
  <c r="S211" i="1" s="1"/>
  <c r="S212" i="1" a="1"/>
  <c r="S212" i="1" s="1"/>
  <c r="S213" i="1" a="1"/>
  <c r="S213" i="1" s="1"/>
  <c r="S214" i="1" a="1"/>
  <c r="S214" i="1" s="1"/>
  <c r="S215" i="1" a="1"/>
  <c r="S215" i="1" s="1"/>
  <c r="S216" i="1" a="1"/>
  <c r="S216" i="1" s="1"/>
  <c r="S217" i="1" a="1"/>
  <c r="S217" i="1" s="1"/>
  <c r="S218" i="1" a="1"/>
  <c r="S218" i="1" s="1"/>
  <c r="S219" i="1" a="1"/>
  <c r="S219" i="1" s="1"/>
  <c r="S220" i="1" a="1"/>
  <c r="S220" i="1" s="1"/>
  <c r="S221" i="1" a="1"/>
  <c r="S221" i="1" s="1"/>
  <c r="S222" i="1" a="1"/>
  <c r="S222" i="1" s="1"/>
  <c r="S223" i="1" a="1"/>
  <c r="S223" i="1" s="1"/>
  <c r="S224" i="1" a="1"/>
  <c r="S224" i="1" s="1"/>
  <c r="S225" i="1" a="1"/>
  <c r="S225" i="1" s="1"/>
  <c r="S226" i="1" a="1"/>
  <c r="S226" i="1" s="1"/>
  <c r="S227" i="1" a="1"/>
  <c r="S227" i="1" s="1"/>
  <c r="S228" i="1" a="1"/>
  <c r="S228" i="1" s="1"/>
  <c r="S229" i="1" a="1"/>
  <c r="S229" i="1" s="1"/>
  <c r="S230" i="1" a="1"/>
  <c r="S230" i="1" s="1"/>
  <c r="S231" i="1" a="1"/>
  <c r="S231" i="1" s="1"/>
  <c r="S232" i="1" a="1"/>
  <c r="S232" i="1" s="1"/>
  <c r="S233" i="1" a="1"/>
  <c r="S233" i="1" s="1"/>
  <c r="S234" i="1" a="1"/>
  <c r="S234" i="1" s="1"/>
  <c r="S235" i="1" a="1"/>
  <c r="S235" i="1" s="1"/>
  <c r="S236" i="1" a="1"/>
  <c r="S236" i="1" s="1"/>
  <c r="S237" i="1" a="1"/>
  <c r="S237" i="1" s="1"/>
  <c r="S238" i="1" a="1"/>
  <c r="S238" i="1" s="1"/>
  <c r="S239" i="1" a="1"/>
  <c r="S239" i="1" s="1"/>
  <c r="S240" i="1" a="1"/>
  <c r="S240" i="1" s="1"/>
  <c r="S241" i="1" a="1"/>
  <c r="S241" i="1" s="1"/>
  <c r="S242" i="1" a="1"/>
  <c r="S242" i="1" s="1"/>
  <c r="S243" i="1" a="1"/>
  <c r="S243" i="1" s="1"/>
  <c r="S244" i="1" a="1"/>
  <c r="S244" i="1" s="1"/>
  <c r="S245" i="1" a="1"/>
  <c r="S245" i="1" s="1"/>
  <c r="S246" i="1" a="1"/>
  <c r="S246" i="1" s="1"/>
  <c r="S247" i="1" a="1"/>
  <c r="S247" i="1" s="1"/>
  <c r="S248" i="1" a="1"/>
  <c r="S248" i="1" s="1"/>
  <c r="S249" i="1" a="1"/>
  <c r="S249" i="1" s="1"/>
  <c r="S250" i="1" a="1"/>
  <c r="S250" i="1" s="1"/>
  <c r="S251" i="1" a="1"/>
  <c r="S251" i="1" s="1"/>
  <c r="S252" i="1" a="1"/>
  <c r="S252" i="1" s="1"/>
  <c r="S253" i="1" a="1"/>
  <c r="S253" i="1" s="1"/>
  <c r="S254" i="1" a="1"/>
  <c r="S254" i="1" s="1"/>
  <c r="S255" i="1" a="1"/>
  <c r="S255" i="1" s="1"/>
  <c r="S256" i="1" a="1"/>
  <c r="S256" i="1" s="1"/>
  <c r="S257" i="1" a="1"/>
  <c r="S257" i="1" s="1"/>
  <c r="S258" i="1" a="1"/>
  <c r="S258" i="1" s="1"/>
  <c r="S259" i="1" a="1"/>
  <c r="S259" i="1" s="1"/>
  <c r="S260" i="1" a="1"/>
  <c r="S260" i="1" s="1"/>
  <c r="S261" i="1" a="1"/>
  <c r="S261" i="1" s="1"/>
  <c r="S262" i="1" a="1"/>
  <c r="S262" i="1" s="1"/>
  <c r="S263" i="1" a="1"/>
  <c r="S263" i="1" s="1"/>
  <c r="S264" i="1" a="1"/>
  <c r="S264" i="1" s="1"/>
  <c r="S265" i="1" a="1"/>
  <c r="S265" i="1" s="1"/>
  <c r="S266" i="1" a="1"/>
  <c r="S266" i="1" s="1"/>
  <c r="S267" i="1" a="1"/>
  <c r="S267" i="1" s="1"/>
  <c r="S268" i="1" a="1"/>
  <c r="S268" i="1" s="1"/>
  <c r="S269" i="1" a="1"/>
  <c r="S269" i="1" s="1"/>
  <c r="S270" i="1" a="1"/>
  <c r="S270" i="1" s="1"/>
  <c r="S271" i="1" a="1"/>
  <c r="S271" i="1" s="1"/>
  <c r="S272" i="1" a="1"/>
  <c r="S272" i="1" s="1"/>
  <c r="S273" i="1" a="1"/>
  <c r="S273" i="1" s="1"/>
  <c r="S274" i="1" a="1"/>
  <c r="S274" i="1" s="1"/>
  <c r="S275" i="1" a="1"/>
  <c r="S275" i="1" s="1"/>
  <c r="S276" i="1" a="1"/>
  <c r="S276" i="1" s="1"/>
  <c r="S277" i="1" a="1"/>
  <c r="S277" i="1" s="1"/>
  <c r="S278" i="1" a="1"/>
  <c r="S278" i="1" s="1"/>
  <c r="S279" i="1" a="1"/>
  <c r="S279" i="1" s="1"/>
  <c r="S280" i="1" a="1"/>
  <c r="S280" i="1" s="1"/>
  <c r="S281" i="1" a="1"/>
  <c r="S281" i="1" s="1"/>
  <c r="S282" i="1" a="1"/>
  <c r="S282" i="1" s="1"/>
  <c r="S283" i="1" a="1"/>
  <c r="S283" i="1" s="1"/>
  <c r="S284" i="1" a="1"/>
  <c r="S284" i="1" s="1"/>
  <c r="S285" i="1" a="1"/>
  <c r="S285" i="1" s="1"/>
  <c r="S286" i="1" a="1"/>
  <c r="S286" i="1" s="1"/>
  <c r="S287" i="1" a="1"/>
  <c r="S287" i="1" s="1"/>
  <c r="S288" i="1" a="1"/>
  <c r="S288" i="1" s="1"/>
  <c r="S289" i="1" a="1"/>
  <c r="S289" i="1" s="1"/>
  <c r="S290" i="1" a="1"/>
  <c r="S290" i="1" s="1"/>
  <c r="S291" i="1" a="1"/>
  <c r="S291" i="1" s="1"/>
  <c r="S292" i="1" a="1"/>
  <c r="S292" i="1" s="1"/>
  <c r="S293" i="1" a="1"/>
  <c r="S293" i="1" s="1"/>
  <c r="S294" i="1" a="1"/>
  <c r="S294" i="1" s="1"/>
  <c r="S295" i="1" a="1"/>
  <c r="S295" i="1" s="1"/>
  <c r="S296" i="1" a="1"/>
  <c r="S296" i="1" s="1"/>
  <c r="S297" i="1" a="1"/>
  <c r="S297" i="1" s="1"/>
  <c r="S298" i="1" a="1"/>
  <c r="S298" i="1" s="1"/>
  <c r="S299" i="1" a="1"/>
  <c r="S299" i="1" s="1"/>
  <c r="S300" i="1" a="1"/>
  <c r="S300" i="1" s="1"/>
  <c r="S301" i="1" a="1"/>
  <c r="S301" i="1" s="1"/>
  <c r="S302" i="1" a="1"/>
  <c r="S302" i="1" s="1"/>
  <c r="S303" i="1" a="1"/>
  <c r="S303" i="1" s="1"/>
  <c r="S304" i="1" a="1"/>
  <c r="S304" i="1" s="1"/>
  <c r="S305" i="1" a="1"/>
  <c r="S305" i="1" s="1"/>
  <c r="S306" i="1" a="1"/>
  <c r="S306" i="1" s="1"/>
  <c r="S307" i="1" a="1"/>
  <c r="S307" i="1" s="1"/>
  <c r="S308" i="1" a="1"/>
  <c r="S308" i="1" s="1"/>
  <c r="S309" i="1" a="1"/>
  <c r="S309" i="1" s="1"/>
  <c r="S310" i="1" a="1"/>
  <c r="S310" i="1" s="1"/>
  <c r="S311" i="1" a="1"/>
  <c r="S311" i="1" s="1"/>
  <c r="S312" i="1" a="1"/>
  <c r="S312" i="1" s="1"/>
  <c r="S313" i="1" a="1"/>
  <c r="S313" i="1" s="1"/>
  <c r="S314" i="1" a="1"/>
  <c r="S314" i="1" s="1"/>
  <c r="S315" i="1" a="1"/>
  <c r="S315" i="1" s="1"/>
  <c r="S316" i="1" a="1"/>
  <c r="S316" i="1" s="1"/>
  <c r="S317" i="1" a="1"/>
  <c r="S317" i="1" s="1"/>
  <c r="S318" i="1" a="1"/>
  <c r="S318" i="1" s="1"/>
  <c r="S319" i="1" a="1"/>
  <c r="S319" i="1" s="1"/>
  <c r="S320" i="1" a="1"/>
  <c r="S320" i="1" s="1"/>
  <c r="S321" i="1" a="1"/>
  <c r="S321" i="1" s="1"/>
  <c r="S322" i="1" a="1"/>
  <c r="S322" i="1" s="1"/>
  <c r="S323" i="1" a="1"/>
  <c r="S323" i="1" s="1"/>
  <c r="S324" i="1" a="1"/>
  <c r="S324" i="1" s="1"/>
  <c r="S325" i="1" a="1"/>
  <c r="S325" i="1" s="1"/>
  <c r="S326" i="1" a="1"/>
  <c r="S326" i="1" s="1"/>
  <c r="S327" i="1" a="1"/>
  <c r="S327" i="1" s="1"/>
  <c r="S328" i="1" a="1"/>
  <c r="S328" i="1" s="1"/>
  <c r="S329" i="1" a="1"/>
  <c r="S329" i="1" s="1"/>
  <c r="S330" i="1" a="1"/>
  <c r="S330" i="1" s="1"/>
  <c r="S331" i="1" a="1"/>
  <c r="S331" i="1" s="1"/>
  <c r="S332" i="1" a="1"/>
  <c r="S332" i="1" s="1"/>
  <c r="S333" i="1" a="1"/>
  <c r="S333" i="1" s="1"/>
  <c r="S334" i="1" a="1"/>
  <c r="S334" i="1" s="1"/>
  <c r="S335" i="1" a="1"/>
  <c r="S335" i="1" s="1"/>
  <c r="S336" i="1" a="1"/>
  <c r="S336" i="1" s="1"/>
  <c r="S337" i="1" a="1"/>
  <c r="S337" i="1" s="1"/>
  <c r="S338" i="1" a="1"/>
  <c r="S338" i="1" s="1"/>
  <c r="S339" i="1" a="1"/>
  <c r="S339" i="1" s="1"/>
  <c r="S340" i="1" a="1"/>
  <c r="S340" i="1" s="1"/>
  <c r="S341" i="1" a="1"/>
  <c r="S341" i="1" s="1"/>
  <c r="S342" i="1" a="1"/>
  <c r="S342" i="1" s="1"/>
  <c r="S343" i="1" a="1"/>
  <c r="S343" i="1" s="1"/>
  <c r="S344" i="1" a="1"/>
  <c r="S344" i="1" s="1"/>
  <c r="S345" i="1" a="1"/>
  <c r="S345" i="1" s="1"/>
  <c r="S346" i="1" a="1"/>
  <c r="S346" i="1" s="1"/>
  <c r="S347" i="1" a="1"/>
  <c r="S347" i="1" s="1"/>
  <c r="S348" i="1" a="1"/>
  <c r="S348" i="1" s="1"/>
  <c r="S349" i="1" a="1"/>
  <c r="S349" i="1" s="1"/>
  <c r="S350" i="1" a="1"/>
  <c r="S350" i="1" s="1"/>
  <c r="S351" i="1" a="1"/>
  <c r="S351" i="1" s="1"/>
  <c r="S352" i="1" a="1"/>
  <c r="S352" i="1" s="1"/>
  <c r="S353" i="1" a="1"/>
  <c r="S353" i="1" s="1"/>
  <c r="S354" i="1" a="1"/>
  <c r="S354" i="1" s="1"/>
  <c r="S355" i="1" a="1"/>
  <c r="S355" i="1" s="1"/>
  <c r="S356" i="1" a="1"/>
  <c r="S356" i="1" s="1"/>
  <c r="S357" i="1" a="1"/>
  <c r="S357" i="1" s="1"/>
  <c r="S358" i="1" a="1"/>
  <c r="S358" i="1" s="1"/>
  <c r="S359" i="1" a="1"/>
  <c r="S359" i="1" s="1"/>
  <c r="S360" i="1" a="1"/>
  <c r="S360" i="1" s="1"/>
  <c r="S361" i="1" a="1"/>
  <c r="S361" i="1" s="1"/>
  <c r="S362" i="1" a="1"/>
  <c r="S362" i="1" s="1"/>
  <c r="S363" i="1" a="1"/>
  <c r="S363" i="1" s="1"/>
  <c r="S364" i="1" a="1"/>
  <c r="S364" i="1" s="1"/>
  <c r="S365" i="1" a="1"/>
  <c r="S365" i="1" s="1"/>
  <c r="S366" i="1" a="1"/>
  <c r="S366" i="1" s="1"/>
  <c r="S367" i="1" a="1"/>
  <c r="S367" i="1" s="1"/>
  <c r="S368" i="1" a="1"/>
  <c r="S368" i="1" s="1"/>
  <c r="S369" i="1" a="1"/>
  <c r="S369" i="1" s="1"/>
  <c r="S370" i="1" a="1"/>
  <c r="S370" i="1" s="1"/>
  <c r="S371" i="1" a="1"/>
  <c r="S371" i="1" s="1"/>
  <c r="S372" i="1" a="1"/>
  <c r="S372" i="1" s="1"/>
  <c r="S373" i="1" a="1"/>
  <c r="S373" i="1" s="1"/>
  <c r="S374" i="1" a="1"/>
  <c r="S374" i="1" s="1"/>
  <c r="S375" i="1" a="1"/>
  <c r="S375" i="1" s="1"/>
  <c r="S376" i="1" a="1"/>
  <c r="S376" i="1" s="1"/>
  <c r="S377" i="1" a="1"/>
  <c r="S377" i="1" s="1"/>
  <c r="S378" i="1" a="1"/>
  <c r="S378" i="1" s="1"/>
  <c r="S379" i="1" a="1"/>
  <c r="S379" i="1" s="1"/>
  <c r="S380" i="1" a="1"/>
  <c r="S380" i="1" s="1"/>
  <c r="S381" i="1" a="1"/>
  <c r="S381" i="1" s="1"/>
  <c r="S382" i="1" a="1"/>
  <c r="S382" i="1" s="1"/>
  <c r="S383" i="1" a="1"/>
  <c r="S383" i="1" s="1"/>
  <c r="S384" i="1" a="1"/>
  <c r="S384" i="1" s="1"/>
  <c r="S385" i="1" a="1"/>
  <c r="S385" i="1" s="1"/>
  <c r="S386" i="1" a="1"/>
  <c r="S386" i="1" s="1"/>
  <c r="S387" i="1" a="1"/>
  <c r="S387" i="1" s="1"/>
  <c r="S388" i="1" a="1"/>
  <c r="S388" i="1" s="1"/>
  <c r="S389" i="1" a="1"/>
  <c r="S389" i="1" s="1"/>
  <c r="S390" i="1" a="1"/>
  <c r="S390" i="1" s="1"/>
  <c r="S391" i="1" a="1"/>
  <c r="S391" i="1" s="1"/>
  <c r="S392" i="1" a="1"/>
  <c r="S392" i="1" s="1"/>
  <c r="S393" i="1" a="1"/>
  <c r="S393" i="1" s="1"/>
  <c r="S394" i="1" a="1"/>
  <c r="S394" i="1" s="1"/>
  <c r="S395" i="1" a="1"/>
  <c r="S395" i="1" s="1"/>
  <c r="S396" i="1" a="1"/>
  <c r="S396" i="1" s="1"/>
  <c r="S397" i="1" a="1"/>
  <c r="S397" i="1" s="1"/>
  <c r="S398" i="1" a="1"/>
  <c r="S398" i="1" s="1"/>
  <c r="S399" i="1" a="1"/>
  <c r="S399" i="1" s="1"/>
  <c r="S400" i="1" a="1"/>
  <c r="S400" i="1" s="1"/>
  <c r="S401" i="1" a="1"/>
  <c r="S401" i="1" s="1"/>
  <c r="S402" i="1" a="1"/>
  <c r="S402" i="1" s="1"/>
  <c r="S403" i="1" a="1"/>
  <c r="S403" i="1" s="1"/>
  <c r="S404" i="1" a="1"/>
  <c r="S404" i="1" s="1"/>
  <c r="S405" i="1" a="1"/>
  <c r="S405" i="1" s="1"/>
  <c r="S406" i="1" a="1"/>
  <c r="S406" i="1" s="1"/>
  <c r="S407" i="1" a="1"/>
  <c r="S407" i="1" s="1"/>
  <c r="S408" i="1" a="1"/>
  <c r="S408" i="1" s="1"/>
  <c r="S409" i="1" a="1"/>
  <c r="S409" i="1" s="1"/>
  <c r="S410" i="1" a="1"/>
  <c r="S410" i="1" s="1"/>
  <c r="S411" i="1" a="1"/>
  <c r="S411" i="1" s="1"/>
  <c r="S412" i="1" a="1"/>
  <c r="S412" i="1" s="1"/>
  <c r="S413" i="1" a="1"/>
  <c r="S413" i="1" s="1"/>
  <c r="S414" i="1" a="1"/>
  <c r="S414" i="1" s="1"/>
  <c r="S415" i="1" a="1"/>
  <c r="S415" i="1" s="1"/>
  <c r="S416" i="1" a="1"/>
  <c r="S416" i="1" s="1"/>
  <c r="S417" i="1" a="1"/>
  <c r="S417" i="1" s="1"/>
  <c r="S418" i="1" a="1"/>
  <c r="S418" i="1" s="1"/>
  <c r="S419" i="1" a="1"/>
  <c r="S419" i="1" s="1"/>
  <c r="S420" i="1" a="1"/>
  <c r="S420" i="1" s="1"/>
  <c r="S421" i="1" a="1"/>
  <c r="S421" i="1" s="1"/>
  <c r="S422" i="1" a="1"/>
  <c r="S422" i="1" s="1"/>
  <c r="S423" i="1" a="1"/>
  <c r="S423" i="1" s="1"/>
  <c r="S424" i="1" a="1"/>
  <c r="S424" i="1" s="1"/>
  <c r="S425" i="1" a="1"/>
  <c r="S425" i="1" s="1"/>
  <c r="S426" i="1" a="1"/>
  <c r="S426" i="1" s="1"/>
  <c r="S427" i="1" a="1"/>
  <c r="S427" i="1" s="1"/>
  <c r="S428" i="1" a="1"/>
  <c r="S428" i="1" s="1"/>
  <c r="S429" i="1" a="1"/>
  <c r="S429" i="1" s="1"/>
  <c r="S430" i="1" a="1"/>
  <c r="S430" i="1" s="1"/>
  <c r="S431" i="1" a="1"/>
  <c r="S431" i="1" s="1"/>
  <c r="S432" i="1" a="1"/>
  <c r="S432" i="1" s="1"/>
  <c r="S433" i="1" a="1"/>
  <c r="S433" i="1" s="1"/>
  <c r="S434" i="1" a="1"/>
  <c r="S434" i="1" s="1"/>
  <c r="S435" i="1" a="1"/>
  <c r="S435" i="1" s="1"/>
  <c r="S436" i="1" a="1"/>
  <c r="S436" i="1" s="1"/>
  <c r="S437" i="1" a="1"/>
  <c r="S437" i="1" s="1"/>
  <c r="S438" i="1" a="1"/>
  <c r="S438" i="1" s="1"/>
  <c r="S439" i="1" a="1"/>
  <c r="S439" i="1" s="1"/>
  <c r="S440" i="1" a="1"/>
  <c r="S440" i="1" s="1"/>
  <c r="S441" i="1" a="1"/>
  <c r="S441" i="1" s="1"/>
  <c r="S442" i="1" a="1"/>
  <c r="S442" i="1" s="1"/>
  <c r="S443" i="1" a="1"/>
  <c r="S443" i="1" s="1"/>
  <c r="S444" i="1" a="1"/>
  <c r="S444" i="1" s="1"/>
  <c r="S445" i="1" a="1"/>
  <c r="S445" i="1" s="1"/>
  <c r="S446" i="1" a="1"/>
  <c r="S446" i="1" s="1"/>
  <c r="S447" i="1" a="1"/>
  <c r="S447" i="1" s="1"/>
  <c r="S448" i="1" a="1"/>
  <c r="S448" i="1" s="1"/>
  <c r="S449" i="1" a="1"/>
  <c r="S449" i="1" s="1"/>
  <c r="S450" i="1" a="1"/>
  <c r="S450" i="1" s="1"/>
  <c r="S451" i="1" a="1"/>
  <c r="S451" i="1" s="1"/>
  <c r="S452" i="1" a="1"/>
  <c r="S452" i="1" s="1"/>
  <c r="S453" i="1" a="1"/>
  <c r="S453" i="1" s="1"/>
  <c r="S454" i="1" a="1"/>
  <c r="S454" i="1" s="1"/>
  <c r="S455" i="1" a="1"/>
  <c r="S455" i="1" s="1"/>
  <c r="S456" i="1" a="1"/>
  <c r="S456" i="1" s="1"/>
  <c r="S457" i="1" a="1"/>
  <c r="S457" i="1" s="1"/>
  <c r="S458" i="1" a="1"/>
  <c r="S458" i="1" s="1"/>
  <c r="S459" i="1" a="1"/>
  <c r="S459" i="1" s="1"/>
  <c r="S460" i="1" a="1"/>
  <c r="S460" i="1" s="1"/>
  <c r="S461" i="1" a="1"/>
  <c r="S461" i="1" s="1"/>
  <c r="S462" i="1" a="1"/>
  <c r="S462" i="1" s="1"/>
  <c r="S463" i="1" a="1"/>
  <c r="S463" i="1" s="1"/>
  <c r="S464" i="1" a="1"/>
  <c r="S464" i="1" s="1"/>
  <c r="S465" i="1" a="1"/>
  <c r="S465" i="1" s="1"/>
  <c r="S466" i="1" a="1"/>
  <c r="S466" i="1" s="1"/>
  <c r="S467" i="1" a="1"/>
  <c r="S467" i="1" s="1"/>
  <c r="S468" i="1" a="1"/>
  <c r="S468" i="1" s="1"/>
  <c r="S469" i="1" a="1"/>
  <c r="S469" i="1" s="1"/>
  <c r="S470" i="1" a="1"/>
  <c r="S470" i="1" s="1"/>
  <c r="S471" i="1" a="1"/>
  <c r="S471" i="1" s="1"/>
  <c r="S472" i="1" a="1"/>
  <c r="S472" i="1" s="1"/>
  <c r="S473" i="1" a="1"/>
  <c r="S473" i="1" s="1"/>
  <c r="S474" i="1" a="1"/>
  <c r="S474" i="1" s="1"/>
  <c r="S475" i="1" a="1"/>
  <c r="S475" i="1" s="1"/>
  <c r="S476" i="1" a="1"/>
  <c r="S476" i="1" s="1"/>
  <c r="S477" i="1" a="1"/>
  <c r="S477" i="1" s="1"/>
  <c r="S478" i="1" a="1"/>
  <c r="S478" i="1" s="1"/>
  <c r="S479" i="1" a="1"/>
  <c r="S479" i="1" s="1"/>
  <c r="S480" i="1" a="1"/>
  <c r="S480" i="1" s="1"/>
  <c r="S481" i="1" a="1"/>
  <c r="S481" i="1" s="1"/>
  <c r="S482" i="1" a="1"/>
  <c r="S482" i="1" s="1"/>
  <c r="S483" i="1" a="1"/>
  <c r="S483" i="1" s="1"/>
  <c r="S484" i="1" a="1"/>
  <c r="S484" i="1" s="1"/>
  <c r="S485" i="1" a="1"/>
  <c r="S485" i="1" s="1"/>
  <c r="S486" i="1" a="1"/>
  <c r="S486" i="1" s="1"/>
  <c r="S487" i="1" a="1"/>
  <c r="S487" i="1" s="1"/>
  <c r="S488" i="1" a="1"/>
  <c r="S488" i="1" s="1"/>
  <c r="S489" i="1" a="1"/>
  <c r="S489" i="1" s="1"/>
  <c r="S490" i="1" a="1"/>
  <c r="S490" i="1" s="1"/>
  <c r="S491" i="1" a="1"/>
  <c r="S491" i="1" s="1"/>
  <c r="S492" i="1" a="1"/>
  <c r="S492" i="1" s="1"/>
  <c r="S493" i="1" a="1"/>
  <c r="S493" i="1" s="1"/>
  <c r="S494" i="1" a="1"/>
  <c r="S494" i="1" s="1"/>
  <c r="S495" i="1" a="1"/>
  <c r="S495" i="1" s="1"/>
  <c r="S496" i="1" a="1"/>
  <c r="S496" i="1" s="1"/>
  <c r="S497" i="1" a="1"/>
  <c r="S497" i="1" s="1"/>
  <c r="S498" i="1" a="1"/>
  <c r="S498" i="1" s="1"/>
  <c r="S499" i="1" a="1"/>
  <c r="S499" i="1" s="1"/>
  <c r="S500" i="1" a="1"/>
  <c r="S500" i="1" s="1"/>
  <c r="S501" i="1" a="1"/>
  <c r="S501" i="1" s="1"/>
  <c r="S502" i="1" a="1"/>
  <c r="S502" i="1" s="1"/>
  <c r="S503" i="1" a="1"/>
  <c r="S503" i="1" s="1"/>
  <c r="S504" i="1" a="1"/>
  <c r="S504" i="1" s="1"/>
  <c r="S505" i="1" a="1"/>
  <c r="S505" i="1" s="1"/>
  <c r="S506" i="1" a="1"/>
  <c r="S506" i="1" s="1"/>
  <c r="S507" i="1" a="1"/>
  <c r="S507" i="1" s="1"/>
  <c r="S508" i="1" a="1"/>
  <c r="S508" i="1" s="1"/>
  <c r="S509" i="1" a="1"/>
  <c r="S509" i="1" s="1"/>
  <c r="S510" i="1" a="1"/>
  <c r="S510" i="1" s="1"/>
  <c r="S511" i="1" a="1"/>
  <c r="S511" i="1" s="1"/>
  <c r="S512" i="1" a="1"/>
  <c r="S512" i="1" s="1"/>
  <c r="S513" i="1" a="1"/>
  <c r="S513" i="1" s="1"/>
  <c r="S514" i="1" a="1"/>
  <c r="S514" i="1" s="1"/>
  <c r="S515" i="1" a="1"/>
  <c r="S515" i="1" s="1"/>
  <c r="S516" i="1" a="1"/>
  <c r="S516" i="1" s="1"/>
  <c r="S517" i="1" a="1"/>
  <c r="S517" i="1" s="1"/>
  <c r="S518" i="1" a="1"/>
  <c r="S518" i="1" s="1"/>
  <c r="S519" i="1" a="1"/>
  <c r="S519" i="1" s="1"/>
  <c r="S520" i="1" a="1"/>
  <c r="S520" i="1" s="1"/>
  <c r="S521" i="1" a="1"/>
  <c r="S521" i="1" s="1"/>
  <c r="S522" i="1" a="1"/>
  <c r="S522" i="1" s="1"/>
  <c r="S523" i="1" a="1"/>
  <c r="S523" i="1" s="1"/>
  <c r="S524" i="1" a="1"/>
  <c r="S524" i="1" s="1"/>
  <c r="S525" i="1" a="1"/>
  <c r="S525" i="1" s="1"/>
  <c r="S526" i="1" a="1"/>
  <c r="S526" i="1" s="1"/>
  <c r="S527" i="1" a="1"/>
  <c r="S527" i="1" s="1"/>
  <c r="S528" i="1" a="1"/>
  <c r="S528" i="1" s="1"/>
  <c r="S529" i="1" a="1"/>
  <c r="S529" i="1" s="1"/>
  <c r="S530" i="1" a="1"/>
  <c r="S530" i="1" s="1"/>
  <c r="S531" i="1" a="1"/>
  <c r="S531" i="1" s="1"/>
  <c r="S532" i="1" a="1"/>
  <c r="S532" i="1" s="1"/>
  <c r="S533" i="1" a="1"/>
  <c r="S533" i="1" s="1"/>
  <c r="S534" i="1" a="1"/>
  <c r="S534" i="1" s="1"/>
  <c r="S535" i="1" a="1"/>
  <c r="S535" i="1" s="1"/>
  <c r="S536" i="1" a="1"/>
  <c r="S536" i="1" s="1"/>
  <c r="S537" i="1" a="1"/>
  <c r="S537" i="1" s="1"/>
  <c r="S538" i="1" a="1"/>
  <c r="S538" i="1" s="1"/>
  <c r="S539" i="1" a="1"/>
  <c r="S539" i="1" s="1"/>
  <c r="S540" i="1" a="1"/>
  <c r="S540" i="1" s="1"/>
  <c r="S541" i="1" a="1"/>
  <c r="S541" i="1" s="1"/>
  <c r="S542" i="1" a="1"/>
  <c r="S542" i="1" s="1"/>
  <c r="S543" i="1" a="1"/>
  <c r="S543" i="1" s="1"/>
  <c r="S544" i="1" a="1"/>
  <c r="S544" i="1" s="1"/>
  <c r="S545" i="1" a="1"/>
  <c r="S545" i="1" s="1"/>
  <c r="S546" i="1" a="1"/>
  <c r="S546" i="1" s="1"/>
  <c r="S547" i="1" a="1"/>
  <c r="S547" i="1" s="1"/>
  <c r="S548" i="1" a="1"/>
  <c r="S548" i="1" s="1"/>
  <c r="S549" i="1" a="1"/>
  <c r="S549" i="1" s="1"/>
  <c r="S550" i="1" a="1"/>
  <c r="S550" i="1" s="1"/>
  <c r="S551" i="1" a="1"/>
  <c r="S551" i="1" s="1"/>
  <c r="S552" i="1" a="1"/>
  <c r="S552" i="1" s="1"/>
  <c r="S553" i="1" a="1"/>
  <c r="S553" i="1" s="1"/>
  <c r="S554" i="1" a="1"/>
  <c r="S554" i="1" s="1"/>
  <c r="S555" i="1" a="1"/>
  <c r="S555" i="1" s="1"/>
  <c r="S556" i="1" a="1"/>
  <c r="S556" i="1" s="1"/>
  <c r="S557" i="1" a="1"/>
  <c r="S557" i="1" s="1"/>
  <c r="S558" i="1" a="1"/>
  <c r="S558" i="1" s="1"/>
  <c r="S559" i="1" a="1"/>
  <c r="S559" i="1" s="1"/>
  <c r="S560" i="1" a="1"/>
  <c r="S560" i="1" s="1"/>
  <c r="S561" i="1" a="1"/>
  <c r="S561" i="1" s="1"/>
  <c r="S562" i="1" a="1"/>
  <c r="S562" i="1" s="1"/>
  <c r="S563" i="1" a="1"/>
  <c r="S563" i="1" s="1"/>
  <c r="S564" i="1" a="1"/>
  <c r="S564" i="1" s="1"/>
  <c r="S565" i="1" a="1"/>
  <c r="S565" i="1" s="1"/>
  <c r="S566" i="1" a="1"/>
  <c r="S566" i="1" s="1"/>
  <c r="S567" i="1" a="1"/>
  <c r="S567" i="1" s="1"/>
  <c r="S568" i="1" a="1"/>
  <c r="S568" i="1" s="1"/>
  <c r="S569" i="1" a="1"/>
  <c r="S569" i="1" s="1"/>
  <c r="S570" i="1" a="1"/>
  <c r="S570" i="1" s="1"/>
  <c r="S571" i="1" a="1"/>
  <c r="S571" i="1" s="1"/>
  <c r="S572" i="1" a="1"/>
  <c r="S572" i="1" s="1"/>
  <c r="S573" i="1" a="1"/>
  <c r="S573" i="1" s="1"/>
  <c r="S574" i="1" a="1"/>
  <c r="S574" i="1" s="1"/>
  <c r="S575" i="1" a="1"/>
  <c r="S575" i="1" s="1"/>
  <c r="S576" i="1" a="1"/>
  <c r="S576" i="1" s="1"/>
  <c r="S577" i="1" a="1"/>
  <c r="S577" i="1" s="1"/>
  <c r="S578" i="1" a="1"/>
  <c r="S578" i="1" s="1"/>
  <c r="S579" i="1" a="1"/>
  <c r="S579" i="1" s="1"/>
  <c r="S580" i="1" a="1"/>
  <c r="S580" i="1" s="1"/>
  <c r="S581" i="1" a="1"/>
  <c r="S581" i="1" s="1"/>
  <c r="S582" i="1" a="1"/>
  <c r="S582" i="1" s="1"/>
  <c r="S583" i="1" a="1"/>
  <c r="S583" i="1" s="1"/>
  <c r="S584" i="1" a="1"/>
  <c r="S584" i="1" s="1"/>
  <c r="S585" i="1" a="1"/>
  <c r="S585" i="1" s="1"/>
  <c r="S586" i="1" a="1"/>
  <c r="S586" i="1" s="1"/>
  <c r="S587" i="1" a="1"/>
  <c r="S587" i="1" s="1"/>
  <c r="S588" i="1" a="1"/>
  <c r="S588" i="1" s="1"/>
  <c r="S589" i="1" a="1"/>
  <c r="S589" i="1" s="1"/>
  <c r="S590" i="1" a="1"/>
  <c r="S590" i="1" s="1"/>
  <c r="S591" i="1" a="1"/>
  <c r="S591" i="1" s="1"/>
  <c r="S592" i="1" a="1"/>
  <c r="S592" i="1" s="1"/>
  <c r="S593" i="1" a="1"/>
  <c r="S593" i="1" s="1"/>
  <c r="S594" i="1" a="1"/>
  <c r="S594" i="1" s="1"/>
  <c r="S595" i="1" a="1"/>
  <c r="S595" i="1" s="1"/>
  <c r="S596" i="1" a="1"/>
  <c r="S596" i="1" s="1"/>
  <c r="S597" i="1" a="1"/>
  <c r="S597" i="1" s="1"/>
  <c r="S598" i="1" a="1"/>
  <c r="S598" i="1" s="1"/>
  <c r="S599" i="1" a="1"/>
  <c r="S599" i="1" s="1"/>
  <c r="S600" i="1" a="1"/>
  <c r="S600" i="1" s="1"/>
  <c r="S601" i="1" a="1"/>
  <c r="S601" i="1" s="1"/>
  <c r="S602" i="1" a="1"/>
  <c r="S602" i="1" s="1"/>
  <c r="S603" i="1" a="1"/>
  <c r="S603" i="1" s="1"/>
  <c r="S604" i="1" a="1"/>
  <c r="S604" i="1" s="1"/>
  <c r="S605" i="1" a="1"/>
  <c r="S605" i="1" s="1"/>
  <c r="S606" i="1" a="1"/>
  <c r="S606" i="1" s="1"/>
  <c r="S607" i="1" a="1"/>
  <c r="S607" i="1" s="1"/>
  <c r="S608" i="1" a="1"/>
  <c r="S608" i="1" s="1"/>
  <c r="S609" i="1" a="1"/>
  <c r="S609" i="1" s="1"/>
  <c r="S610" i="1" a="1"/>
  <c r="S610" i="1" s="1"/>
  <c r="S611" i="1" a="1"/>
  <c r="S611" i="1" s="1"/>
  <c r="S612" i="1" a="1"/>
  <c r="S612" i="1" s="1"/>
  <c r="S613" i="1" a="1"/>
  <c r="S613" i="1" s="1"/>
  <c r="S614" i="1" a="1"/>
  <c r="S614" i="1" s="1"/>
  <c r="S615" i="1" a="1"/>
  <c r="S615" i="1" s="1"/>
  <c r="S616" i="1" a="1"/>
  <c r="S616" i="1" s="1"/>
  <c r="S617" i="1" a="1"/>
  <c r="S617" i="1" s="1"/>
  <c r="S618" i="1" a="1"/>
  <c r="S618" i="1" s="1"/>
  <c r="S619" i="1" a="1"/>
  <c r="S619" i="1" s="1"/>
  <c r="S620" i="1" a="1"/>
  <c r="S620" i="1" s="1"/>
  <c r="S621" i="1" a="1"/>
  <c r="S621" i="1" s="1"/>
  <c r="S622" i="1" a="1"/>
  <c r="S622" i="1" s="1"/>
  <c r="S623" i="1" a="1"/>
  <c r="S623" i="1" s="1"/>
  <c r="S624" i="1" a="1"/>
  <c r="S624" i="1" s="1"/>
  <c r="S625" i="1" a="1"/>
  <c r="S625" i="1" s="1"/>
  <c r="S626" i="1" a="1"/>
  <c r="S626" i="1" s="1"/>
  <c r="S627" i="1" a="1"/>
  <c r="S627" i="1" s="1"/>
  <c r="S628" i="1" a="1"/>
  <c r="S628" i="1" s="1"/>
  <c r="S629" i="1" a="1"/>
  <c r="S629" i="1" s="1"/>
  <c r="S630" i="1" a="1"/>
  <c r="S630" i="1" s="1"/>
  <c r="S631" i="1" a="1"/>
  <c r="S631" i="1" s="1"/>
  <c r="S632" i="1" a="1"/>
  <c r="S632" i="1" s="1"/>
  <c r="S633" i="1" a="1"/>
  <c r="S633" i="1" s="1"/>
  <c r="S634" i="1" a="1"/>
  <c r="S634" i="1" s="1"/>
  <c r="S635" i="1" a="1"/>
  <c r="S635" i="1" s="1"/>
  <c r="S636" i="1" a="1"/>
  <c r="S636" i="1" s="1"/>
  <c r="S637" i="1" a="1"/>
  <c r="S637" i="1" s="1"/>
  <c r="S638" i="1" a="1"/>
  <c r="S638" i="1" s="1"/>
  <c r="S639" i="1" a="1"/>
  <c r="S639" i="1" s="1"/>
  <c r="S640" i="1" a="1"/>
  <c r="S640" i="1" s="1"/>
  <c r="S641" i="1" a="1"/>
  <c r="S641" i="1" s="1"/>
  <c r="S642" i="1" a="1"/>
  <c r="S642" i="1" s="1"/>
  <c r="S643" i="1" a="1"/>
  <c r="S643" i="1" s="1"/>
  <c r="S644" i="1" a="1"/>
  <c r="S644" i="1" s="1"/>
  <c r="S645" i="1" a="1"/>
  <c r="S645" i="1" s="1"/>
  <c r="S646" i="1" a="1"/>
  <c r="S646" i="1" s="1"/>
  <c r="S647" i="1" a="1"/>
  <c r="S647" i="1" s="1"/>
  <c r="S648" i="1" a="1"/>
  <c r="S648" i="1" s="1"/>
  <c r="S649" i="1" a="1"/>
  <c r="S649" i="1" s="1"/>
  <c r="S650" i="1" a="1"/>
  <c r="S650" i="1" s="1"/>
  <c r="S651" i="1" a="1"/>
  <c r="S651" i="1" s="1"/>
  <c r="S652" i="1" a="1"/>
  <c r="S652" i="1" s="1"/>
  <c r="S653" i="1" a="1"/>
  <c r="S653" i="1" s="1"/>
  <c r="S654" i="1" a="1"/>
  <c r="S654" i="1" s="1"/>
  <c r="S655" i="1" a="1"/>
  <c r="S655" i="1" s="1"/>
  <c r="S656" i="1" a="1"/>
  <c r="S656" i="1"/>
  <c r="S657" i="1" a="1"/>
  <c r="S657" i="1" s="1"/>
  <c r="S658" i="1" a="1"/>
  <c r="S658" i="1" s="1"/>
  <c r="S659" i="1" a="1"/>
  <c r="S659" i="1" s="1"/>
  <c r="S660" i="1" a="1"/>
  <c r="S660" i="1" s="1"/>
  <c r="S661" i="1" a="1"/>
  <c r="S661" i="1" s="1"/>
  <c r="S662" i="1" a="1"/>
  <c r="S662" i="1" s="1"/>
  <c r="S663" i="1" a="1"/>
  <c r="S663" i="1" s="1"/>
  <c r="S664" i="1" a="1"/>
  <c r="S664" i="1" s="1"/>
  <c r="S665" i="1" a="1"/>
  <c r="S665" i="1" s="1"/>
  <c r="S666" i="1" a="1"/>
  <c r="S666" i="1" s="1"/>
  <c r="S667" i="1" a="1"/>
  <c r="S667" i="1" s="1"/>
  <c r="S668" i="1" a="1"/>
  <c r="S668" i="1" s="1"/>
  <c r="S669" i="1" a="1"/>
  <c r="S669" i="1" s="1"/>
  <c r="S670" i="1" a="1"/>
  <c r="S670" i="1" s="1"/>
  <c r="S671" i="1" a="1"/>
  <c r="S671" i="1" s="1"/>
  <c r="S672" i="1" a="1"/>
  <c r="S672" i="1" s="1"/>
  <c r="S673" i="1" a="1"/>
  <c r="S673" i="1" s="1"/>
  <c r="S674" i="1" a="1"/>
  <c r="S674" i="1" s="1"/>
  <c r="S675" i="1" a="1"/>
  <c r="S675" i="1" s="1"/>
  <c r="S676" i="1" a="1"/>
  <c r="S676" i="1" s="1"/>
  <c r="S677" i="1" a="1"/>
  <c r="S677" i="1" s="1"/>
  <c r="S678" i="1" a="1"/>
  <c r="S678" i="1" s="1"/>
  <c r="S679" i="1" a="1"/>
  <c r="S679" i="1" s="1"/>
  <c r="S680" i="1" a="1"/>
  <c r="S680" i="1" s="1"/>
  <c r="S681" i="1" a="1"/>
  <c r="S681" i="1" s="1"/>
  <c r="S682" i="1" a="1"/>
  <c r="S682" i="1" s="1"/>
  <c r="S683" i="1" a="1"/>
  <c r="S683" i="1" s="1"/>
  <c r="S684" i="1" a="1"/>
  <c r="S684" i="1" s="1"/>
  <c r="S685" i="1" a="1"/>
  <c r="S685" i="1" s="1"/>
  <c r="S686" i="1" a="1"/>
  <c r="S686" i="1" s="1"/>
  <c r="S687" i="1" a="1"/>
  <c r="S687" i="1" s="1"/>
  <c r="S688" i="1" a="1"/>
  <c r="S688" i="1" s="1"/>
  <c r="S689" i="1" a="1"/>
  <c r="S689" i="1" s="1"/>
  <c r="S690" i="1" a="1"/>
  <c r="S690" i="1" s="1"/>
  <c r="S691" i="1" a="1"/>
  <c r="S691" i="1" s="1"/>
  <c r="S692" i="1" a="1"/>
  <c r="S692" i="1" s="1"/>
  <c r="S693" i="1" a="1"/>
  <c r="S693" i="1" s="1"/>
  <c r="S694" i="1" a="1"/>
  <c r="S694" i="1" s="1"/>
  <c r="S695" i="1" a="1"/>
  <c r="S695" i="1" s="1"/>
  <c r="S696" i="1" a="1"/>
  <c r="S696" i="1" s="1"/>
  <c r="S697" i="1" a="1"/>
  <c r="S697" i="1" s="1"/>
  <c r="S698" i="1" a="1"/>
  <c r="S698" i="1" s="1"/>
  <c r="S699" i="1" a="1"/>
  <c r="S699" i="1" s="1"/>
  <c r="S700" i="1" a="1"/>
  <c r="S700" i="1" s="1"/>
  <c r="S701" i="1" a="1"/>
  <c r="S701" i="1" s="1"/>
  <c r="S702" i="1" a="1"/>
  <c r="S702" i="1" s="1"/>
  <c r="S703" i="1" a="1"/>
  <c r="S703" i="1" s="1"/>
  <c r="S704" i="1" a="1"/>
  <c r="S704" i="1" s="1"/>
  <c r="S705" i="1" a="1"/>
  <c r="S705" i="1" s="1"/>
  <c r="S706" i="1" a="1"/>
  <c r="S706" i="1" s="1"/>
  <c r="S707" i="1" a="1"/>
  <c r="S707" i="1" s="1"/>
  <c r="S708" i="1" a="1"/>
  <c r="S708" i="1" s="1"/>
  <c r="S709" i="1" a="1"/>
  <c r="S709" i="1" s="1"/>
  <c r="S710" i="1" a="1"/>
  <c r="S710" i="1" s="1"/>
  <c r="S711" i="1" a="1"/>
  <c r="S711" i="1" s="1"/>
  <c r="S712" i="1" a="1"/>
  <c r="S712" i="1" s="1"/>
  <c r="S713" i="1" a="1"/>
  <c r="S713" i="1" s="1"/>
  <c r="S714" i="1" a="1"/>
  <c r="S714" i="1" s="1"/>
  <c r="S715" i="1" a="1"/>
  <c r="S715" i="1" s="1"/>
  <c r="S716" i="1" a="1"/>
  <c r="S716" i="1" s="1"/>
  <c r="S717" i="1" a="1"/>
  <c r="S717" i="1" s="1"/>
  <c r="S718" i="1" a="1"/>
  <c r="S718" i="1" s="1"/>
  <c r="S719" i="1" a="1"/>
  <c r="S719" i="1" s="1"/>
  <c r="S720" i="1" a="1"/>
  <c r="S720" i="1" s="1"/>
  <c r="S721" i="1" a="1"/>
  <c r="S721" i="1" s="1"/>
  <c r="S722" i="1" a="1"/>
  <c r="S722" i="1" s="1"/>
  <c r="S723" i="1" a="1"/>
  <c r="S723" i="1" s="1"/>
  <c r="S724" i="1" a="1"/>
  <c r="S724" i="1" s="1"/>
  <c r="S725" i="1" a="1"/>
  <c r="S725" i="1" s="1"/>
  <c r="S726" i="1" a="1"/>
  <c r="S726" i="1" s="1"/>
  <c r="S727" i="1" a="1"/>
  <c r="S727" i="1" s="1"/>
  <c r="S728" i="1" a="1"/>
  <c r="S728" i="1" s="1"/>
  <c r="S729" i="1" a="1"/>
  <c r="S729" i="1" s="1"/>
  <c r="S730" i="1" a="1"/>
  <c r="S730" i="1" s="1"/>
  <c r="S731" i="1" a="1"/>
  <c r="S731" i="1" s="1"/>
  <c r="S732" i="1" a="1"/>
  <c r="S732" i="1" s="1"/>
  <c r="S733" i="1" a="1"/>
  <c r="S733" i="1" s="1"/>
  <c r="S734" i="1" a="1"/>
  <c r="S734" i="1" s="1"/>
  <c r="S735" i="1" a="1"/>
  <c r="S735" i="1" s="1"/>
  <c r="S736" i="1" a="1"/>
  <c r="S736" i="1" s="1"/>
  <c r="S737" i="1" a="1"/>
  <c r="S737" i="1" s="1"/>
  <c r="S738" i="1" a="1"/>
  <c r="S738" i="1" s="1"/>
  <c r="S739" i="1" a="1"/>
  <c r="S739" i="1" s="1"/>
  <c r="S740" i="1" a="1"/>
  <c r="S740" i="1" s="1"/>
  <c r="S741" i="1" a="1"/>
  <c r="S741" i="1" s="1"/>
  <c r="S742" i="1" a="1"/>
  <c r="S742" i="1" s="1"/>
  <c r="S743" i="1" a="1"/>
  <c r="S743" i="1" s="1"/>
  <c r="S744" i="1" a="1"/>
  <c r="S744" i="1" s="1"/>
  <c r="S745" i="1" a="1"/>
  <c r="S745" i="1" s="1"/>
  <c r="S746" i="1" a="1"/>
  <c r="S746" i="1" s="1"/>
  <c r="S747" i="1" a="1"/>
  <c r="S747" i="1" s="1"/>
  <c r="S748" i="1" a="1"/>
  <c r="S748" i="1" s="1"/>
  <c r="S749" i="1" a="1"/>
  <c r="S749" i="1" s="1"/>
  <c r="S750" i="1" a="1"/>
  <c r="S750" i="1" s="1"/>
  <c r="S751" i="1" a="1"/>
  <c r="S751" i="1" s="1"/>
  <c r="S752" i="1" a="1"/>
  <c r="S752" i="1" s="1"/>
  <c r="S753" i="1" a="1"/>
  <c r="S753" i="1" s="1"/>
  <c r="S754" i="1" a="1"/>
  <c r="S754" i="1" s="1"/>
  <c r="S755" i="1" a="1"/>
  <c r="S755" i="1" s="1"/>
  <c r="S756" i="1" a="1"/>
  <c r="S756" i="1" s="1"/>
  <c r="S757" i="1" a="1"/>
  <c r="S757" i="1" s="1"/>
  <c r="S758" i="1" a="1"/>
  <c r="S758" i="1" s="1"/>
  <c r="S759" i="1" a="1"/>
  <c r="S759" i="1" s="1"/>
  <c r="S760" i="1" a="1"/>
  <c r="S760" i="1" s="1"/>
  <c r="S761" i="1" a="1"/>
  <c r="S761" i="1" s="1"/>
  <c r="S762" i="1" a="1"/>
  <c r="S762" i="1" s="1"/>
  <c r="S763" i="1" a="1"/>
  <c r="S763" i="1" s="1"/>
  <c r="S764" i="1" a="1"/>
  <c r="S764" i="1" s="1"/>
  <c r="S765" i="1" a="1"/>
  <c r="S765" i="1" s="1"/>
  <c r="S766" i="1" a="1"/>
  <c r="S766" i="1" s="1"/>
  <c r="S767" i="1" a="1"/>
  <c r="S767" i="1" s="1"/>
  <c r="S768" i="1" a="1"/>
  <c r="S768" i="1" s="1"/>
  <c r="S769" i="1" a="1"/>
  <c r="S769" i="1" s="1"/>
  <c r="S770" i="1" a="1"/>
  <c r="S770" i="1" s="1"/>
  <c r="S771" i="1" a="1"/>
  <c r="S771" i="1" s="1"/>
  <c r="S772" i="1" a="1"/>
  <c r="S772" i="1" s="1"/>
  <c r="S773" i="1" a="1"/>
  <c r="S773" i="1" s="1"/>
  <c r="S774" i="1" a="1"/>
  <c r="S774" i="1" s="1"/>
  <c r="S775" i="1" a="1"/>
  <c r="S775" i="1" s="1"/>
  <c r="S776" i="1" a="1"/>
  <c r="S776" i="1" s="1"/>
  <c r="S777" i="1" a="1"/>
  <c r="S777" i="1" s="1"/>
  <c r="S778" i="1" a="1"/>
  <c r="S778" i="1" s="1"/>
  <c r="S779" i="1" a="1"/>
  <c r="S779" i="1" s="1"/>
  <c r="S780" i="1" a="1"/>
  <c r="S780" i="1" s="1"/>
  <c r="S781" i="1" a="1"/>
  <c r="S781" i="1" s="1"/>
  <c r="S782" i="1" a="1"/>
  <c r="S782" i="1" s="1"/>
  <c r="S783" i="1" a="1"/>
  <c r="S783" i="1" s="1"/>
  <c r="S784" i="1" a="1"/>
  <c r="S784" i="1" s="1"/>
  <c r="S785" i="1" a="1"/>
  <c r="S785" i="1" s="1"/>
  <c r="S786" i="1" a="1"/>
  <c r="S786" i="1" s="1"/>
  <c r="S787" i="1" a="1"/>
  <c r="S787" i="1" s="1"/>
  <c r="S788" i="1" a="1"/>
  <c r="S788" i="1" s="1"/>
  <c r="S789" i="1" a="1"/>
  <c r="S789" i="1" s="1"/>
  <c r="S790" i="1" a="1"/>
  <c r="S790" i="1" s="1"/>
  <c r="S791" i="1" a="1"/>
  <c r="S791" i="1" s="1"/>
  <c r="S792" i="1" a="1"/>
  <c r="S792" i="1" s="1"/>
  <c r="S793" i="1" a="1"/>
  <c r="S793" i="1" s="1"/>
  <c r="S794" i="1" a="1"/>
  <c r="S794" i="1" s="1"/>
  <c r="S795" i="1" a="1"/>
  <c r="S795" i="1" s="1"/>
  <c r="S796" i="1" a="1"/>
  <c r="S796" i="1" s="1"/>
  <c r="S797" i="1" a="1"/>
  <c r="S797" i="1" s="1"/>
  <c r="S798" i="1" a="1"/>
  <c r="S798" i="1" s="1"/>
  <c r="S799" i="1" a="1"/>
  <c r="S799" i="1" s="1"/>
  <c r="S800" i="1" a="1"/>
  <c r="S800" i="1" s="1"/>
  <c r="S801" i="1" a="1"/>
  <c r="S801" i="1" s="1"/>
  <c r="S802" i="1" a="1"/>
  <c r="S802" i="1" s="1"/>
  <c r="S803" i="1" a="1"/>
  <c r="S803" i="1" s="1"/>
  <c r="S804" i="1" a="1"/>
  <c r="S804" i="1" s="1"/>
  <c r="S805" i="1" a="1"/>
  <c r="S805" i="1" s="1"/>
  <c r="S806" i="1" a="1"/>
  <c r="S806" i="1" s="1"/>
  <c r="S807" i="1" a="1"/>
  <c r="S807" i="1" s="1"/>
  <c r="S808" i="1" a="1"/>
  <c r="S808" i="1" s="1"/>
  <c r="S809" i="1" a="1"/>
  <c r="S809" i="1" s="1"/>
  <c r="S810" i="1" a="1"/>
  <c r="S810" i="1" s="1"/>
  <c r="S811" i="1" a="1"/>
  <c r="S811" i="1" s="1"/>
  <c r="S812" i="1" a="1"/>
  <c r="S812" i="1" s="1"/>
  <c r="S813" i="1" a="1"/>
  <c r="S813" i="1" s="1"/>
  <c r="S814" i="1" a="1"/>
  <c r="S814" i="1" s="1"/>
  <c r="S815" i="1" a="1"/>
  <c r="S815" i="1" s="1"/>
  <c r="S816" i="1" a="1"/>
  <c r="S816" i="1" s="1"/>
  <c r="S817" i="1" a="1"/>
  <c r="S817" i="1" s="1"/>
  <c r="S818" i="1" a="1"/>
  <c r="S818" i="1" s="1"/>
  <c r="S819" i="1" a="1"/>
  <c r="S819" i="1" s="1"/>
  <c r="S820" i="1" a="1"/>
  <c r="S820" i="1" s="1"/>
  <c r="S821" i="1" a="1"/>
  <c r="S821" i="1" s="1"/>
  <c r="S822" i="1" a="1"/>
  <c r="S822" i="1" s="1"/>
  <c r="S823" i="1" a="1"/>
  <c r="S823" i="1" s="1"/>
  <c r="S824" i="1" a="1"/>
  <c r="S824" i="1" s="1"/>
  <c r="S825" i="1" a="1"/>
  <c r="S825" i="1" s="1"/>
  <c r="S826" i="1" a="1"/>
  <c r="S826" i="1" s="1"/>
  <c r="S827" i="1" a="1"/>
  <c r="S827" i="1" s="1"/>
  <c r="S828" i="1" a="1"/>
  <c r="S828" i="1" s="1"/>
  <c r="S829" i="1" a="1"/>
  <c r="S829" i="1" s="1"/>
  <c r="S830" i="1" a="1"/>
  <c r="S830" i="1" s="1"/>
  <c r="S831" i="1" a="1"/>
  <c r="S831" i="1" s="1"/>
  <c r="S832" i="1" a="1"/>
  <c r="S832" i="1" s="1"/>
  <c r="S833" i="1" a="1"/>
  <c r="S833" i="1" s="1"/>
  <c r="S834" i="1" a="1"/>
  <c r="S834" i="1" s="1"/>
  <c r="S835" i="1" a="1"/>
  <c r="S835" i="1" s="1"/>
  <c r="S836" i="1" a="1"/>
  <c r="S836" i="1" s="1"/>
  <c r="S837" i="1" a="1"/>
  <c r="S837" i="1" s="1"/>
  <c r="S838" i="1" a="1"/>
  <c r="S838" i="1" s="1"/>
  <c r="S839" i="1" a="1"/>
  <c r="S839" i="1" s="1"/>
  <c r="S840" i="1" a="1"/>
  <c r="S840" i="1" s="1"/>
  <c r="S841" i="1" a="1"/>
  <c r="S841" i="1" s="1"/>
  <c r="S842" i="1" a="1"/>
  <c r="S842" i="1" s="1"/>
  <c r="S843" i="1" a="1"/>
  <c r="S843" i="1" s="1"/>
  <c r="S844" i="1" a="1"/>
  <c r="S844" i="1" s="1"/>
  <c r="S845" i="1" a="1"/>
  <c r="S845" i="1" s="1"/>
  <c r="S846" i="1" a="1"/>
  <c r="S846" i="1" s="1"/>
  <c r="S847" i="1" a="1"/>
  <c r="S847" i="1" s="1"/>
  <c r="S848" i="1" a="1"/>
  <c r="S848" i="1" s="1"/>
  <c r="S849" i="1" a="1"/>
  <c r="S849" i="1" s="1"/>
  <c r="S850" i="1" a="1"/>
  <c r="S850" i="1" s="1"/>
  <c r="S851" i="1" a="1"/>
  <c r="S851" i="1" s="1"/>
  <c r="S852" i="1" a="1"/>
  <c r="S852" i="1" s="1"/>
  <c r="S853" i="1" a="1"/>
  <c r="S853" i="1" s="1"/>
  <c r="S854" i="1" a="1"/>
  <c r="S854" i="1" s="1"/>
  <c r="S855" i="1" a="1"/>
  <c r="S855" i="1" s="1"/>
  <c r="S856" i="1" a="1"/>
  <c r="S856" i="1" s="1"/>
  <c r="S857" i="1" a="1"/>
  <c r="S857" i="1" s="1"/>
  <c r="S858" i="1" a="1"/>
  <c r="S858" i="1" s="1"/>
  <c r="S859" i="1" a="1"/>
  <c r="S859" i="1" s="1"/>
  <c r="S860" i="1" a="1"/>
  <c r="S860" i="1" s="1"/>
  <c r="S861" i="1" a="1"/>
  <c r="S861" i="1" s="1"/>
  <c r="S862" i="1" a="1"/>
  <c r="S862" i="1" s="1"/>
  <c r="S863" i="1" a="1"/>
  <c r="S863" i="1" s="1"/>
  <c r="S864" i="1" a="1"/>
  <c r="S864" i="1" s="1"/>
  <c r="S865" i="1" a="1"/>
  <c r="S865" i="1" s="1"/>
  <c r="S866" i="1" a="1"/>
  <c r="S866" i="1" s="1"/>
  <c r="S867" i="1" a="1"/>
  <c r="S867" i="1" s="1"/>
  <c r="S868" i="1" a="1"/>
  <c r="S868" i="1" s="1"/>
  <c r="S869" i="1" a="1"/>
  <c r="S869" i="1" s="1"/>
  <c r="S870" i="1" a="1"/>
  <c r="S870" i="1" s="1"/>
  <c r="S871" i="1" a="1"/>
  <c r="S871" i="1" s="1"/>
  <c r="S872" i="1" a="1"/>
  <c r="S872" i="1" s="1"/>
  <c r="S873" i="1" a="1"/>
  <c r="S873" i="1" s="1"/>
  <c r="S874" i="1" a="1"/>
  <c r="S874" i="1" s="1"/>
  <c r="S875" i="1" a="1"/>
  <c r="S875" i="1" s="1"/>
  <c r="S876" i="1" a="1"/>
  <c r="S876" i="1" s="1"/>
  <c r="S877" i="1" a="1"/>
  <c r="S877" i="1" s="1"/>
  <c r="S878" i="1" a="1"/>
  <c r="S878" i="1" s="1"/>
  <c r="S879" i="1" a="1"/>
  <c r="S879" i="1" s="1"/>
  <c r="S880" i="1" a="1"/>
  <c r="S880" i="1" s="1"/>
  <c r="S881" i="1" a="1"/>
  <c r="S881" i="1" s="1"/>
  <c r="S882" i="1" a="1"/>
  <c r="S882" i="1" s="1"/>
  <c r="S883" i="1" a="1"/>
  <c r="S883" i="1" s="1"/>
  <c r="S884" i="1" a="1"/>
  <c r="S884" i="1" s="1"/>
  <c r="S885" i="1" a="1"/>
  <c r="S885" i="1"/>
  <c r="S886" i="1" a="1"/>
  <c r="S886" i="1" s="1"/>
  <c r="S887" i="1" a="1"/>
  <c r="S887" i="1" s="1"/>
  <c r="S888" i="1" a="1"/>
  <c r="S888" i="1" s="1"/>
  <c r="S889" i="1" a="1"/>
  <c r="S889" i="1" s="1"/>
  <c r="S890" i="1" a="1"/>
  <c r="S890" i="1" s="1"/>
  <c r="S891" i="1" a="1"/>
  <c r="S891" i="1" s="1"/>
  <c r="S892" i="1" a="1"/>
  <c r="S892" i="1" s="1"/>
  <c r="S893" i="1" a="1"/>
  <c r="S893" i="1" s="1"/>
  <c r="S894" i="1" a="1"/>
  <c r="S894" i="1" s="1"/>
  <c r="S895" i="1" a="1"/>
  <c r="S895" i="1" s="1"/>
  <c r="S896" i="1" a="1"/>
  <c r="S896" i="1" s="1"/>
  <c r="S897" i="1" a="1"/>
  <c r="S897" i="1" s="1"/>
  <c r="S898" i="1" a="1"/>
  <c r="S898" i="1" s="1"/>
  <c r="S899" i="1" a="1"/>
  <c r="S899" i="1" s="1"/>
  <c r="S900" i="1" a="1"/>
  <c r="S900" i="1" s="1"/>
  <c r="S901" i="1" a="1"/>
  <c r="S901" i="1" s="1"/>
  <c r="S902" i="1" a="1"/>
  <c r="S902" i="1" s="1"/>
  <c r="S903" i="1" a="1"/>
  <c r="S903" i="1" s="1"/>
  <c r="S904" i="1" a="1"/>
  <c r="S904" i="1" s="1"/>
  <c r="S905" i="1" a="1"/>
  <c r="S905" i="1" s="1"/>
  <c r="S906" i="1" a="1"/>
  <c r="S906" i="1" s="1"/>
  <c r="S907" i="1" a="1"/>
  <c r="S907" i="1" s="1"/>
  <c r="S908" i="1" a="1"/>
  <c r="S908" i="1" s="1"/>
  <c r="S909" i="1" a="1"/>
  <c r="S909" i="1" s="1"/>
  <c r="S910" i="1" a="1"/>
  <c r="S910" i="1" s="1"/>
  <c r="S911" i="1" a="1"/>
  <c r="S911" i="1" s="1"/>
  <c r="S912" i="1" a="1"/>
  <c r="S912" i="1" s="1"/>
  <c r="S913" i="1" a="1"/>
  <c r="S913" i="1" s="1"/>
  <c r="S914" i="1" a="1"/>
  <c r="S914" i="1" s="1"/>
  <c r="S915" i="1" a="1"/>
  <c r="S915" i="1" s="1"/>
  <c r="S916" i="1" a="1"/>
  <c r="S916" i="1" s="1"/>
  <c r="S917" i="1" a="1"/>
  <c r="S917" i="1" s="1"/>
  <c r="S918" i="1" a="1"/>
  <c r="S918" i="1" s="1"/>
  <c r="S919" i="1" a="1"/>
  <c r="S919" i="1" s="1"/>
  <c r="S920" i="1" a="1"/>
  <c r="S920" i="1" s="1"/>
  <c r="S921" i="1" a="1"/>
  <c r="S921" i="1" s="1"/>
  <c r="S922" i="1" a="1"/>
  <c r="S922" i="1" s="1"/>
  <c r="S923" i="1" a="1"/>
  <c r="S923" i="1" s="1"/>
  <c r="S924" i="1" a="1"/>
  <c r="S924" i="1" s="1"/>
  <c r="S925" i="1" a="1"/>
  <c r="S925" i="1" s="1"/>
  <c r="S926" i="1" a="1"/>
  <c r="S926" i="1"/>
  <c r="S927" i="1" a="1"/>
  <c r="S927" i="1" s="1"/>
  <c r="S928" i="1" a="1"/>
  <c r="S928" i="1" s="1"/>
  <c r="S929" i="1" a="1"/>
  <c r="S929" i="1" s="1"/>
  <c r="S930" i="1" a="1"/>
  <c r="S930" i="1" s="1"/>
  <c r="S931" i="1" a="1"/>
  <c r="S931" i="1" s="1"/>
  <c r="S932" i="1" a="1"/>
  <c r="S932" i="1" s="1"/>
  <c r="S933" i="1" a="1"/>
  <c r="S933" i="1" s="1"/>
  <c r="S934" i="1" a="1"/>
  <c r="S934" i="1" s="1"/>
  <c r="S935" i="1" a="1"/>
  <c r="S935" i="1" s="1"/>
  <c r="S936" i="1" a="1"/>
  <c r="S936" i="1" s="1"/>
  <c r="S937" i="1" a="1"/>
  <c r="S937" i="1" s="1"/>
  <c r="S938" i="1" a="1"/>
  <c r="S938" i="1" s="1"/>
  <c r="S939" i="1" a="1"/>
  <c r="S939" i="1" s="1"/>
  <c r="S940" i="1" a="1"/>
  <c r="S940" i="1" s="1"/>
  <c r="S941" i="1" a="1"/>
  <c r="S941" i="1" s="1"/>
  <c r="S942" i="1" a="1"/>
  <c r="S942" i="1" s="1"/>
  <c r="S943" i="1" a="1"/>
  <c r="S943" i="1" s="1"/>
  <c r="S944" i="1" a="1"/>
  <c r="S944" i="1" s="1"/>
  <c r="S945" i="1" a="1"/>
  <c r="S945" i="1" s="1"/>
  <c r="S946" i="1" a="1"/>
  <c r="S946" i="1" s="1"/>
  <c r="S947" i="1" a="1"/>
  <c r="S947" i="1" s="1"/>
  <c r="S948" i="1" a="1"/>
  <c r="S948" i="1" s="1"/>
  <c r="S949" i="1" a="1"/>
  <c r="S949" i="1" s="1"/>
  <c r="S950" i="1" a="1"/>
  <c r="S950" i="1" s="1"/>
  <c r="S951" i="1" a="1"/>
  <c r="S951" i="1" s="1"/>
  <c r="S952" i="1" a="1"/>
  <c r="S952" i="1" s="1"/>
  <c r="S953" i="1" a="1"/>
  <c r="S953" i="1" s="1"/>
  <c r="S954" i="1" a="1"/>
  <c r="S954" i="1" s="1"/>
  <c r="S955" i="1" a="1"/>
  <c r="S955" i="1" s="1"/>
  <c r="S956" i="1" a="1"/>
  <c r="S956" i="1" s="1"/>
  <c r="S957" i="1" a="1"/>
  <c r="S957" i="1" s="1"/>
  <c r="S958" i="1" a="1"/>
  <c r="S958" i="1" s="1"/>
  <c r="S959" i="1" a="1"/>
  <c r="S959" i="1" s="1"/>
  <c r="S960" i="1" a="1"/>
  <c r="S960" i="1" s="1"/>
  <c r="S961" i="1" a="1"/>
  <c r="S961" i="1" s="1"/>
  <c r="S962" i="1" a="1"/>
  <c r="S962" i="1" s="1"/>
  <c r="S963" i="1" a="1"/>
  <c r="S963" i="1" s="1"/>
  <c r="S964" i="1" a="1"/>
  <c r="S964" i="1" s="1"/>
  <c r="S965" i="1" a="1"/>
  <c r="S965" i="1" s="1"/>
  <c r="S966" i="1" a="1"/>
  <c r="S966" i="1" s="1"/>
  <c r="S967" i="1" a="1"/>
  <c r="S967" i="1" s="1"/>
  <c r="S968" i="1" a="1"/>
  <c r="S968" i="1" s="1"/>
  <c r="S969" i="1" a="1"/>
  <c r="S969" i="1" s="1"/>
  <c r="S970" i="1" a="1"/>
  <c r="S970" i="1" s="1"/>
  <c r="S971" i="1" a="1"/>
  <c r="S971" i="1" s="1"/>
  <c r="S972" i="1" a="1"/>
  <c r="S972" i="1" s="1"/>
  <c r="S973" i="1" a="1"/>
  <c r="S973" i="1" s="1"/>
  <c r="S974" i="1" a="1"/>
  <c r="S974" i="1" s="1"/>
  <c r="S975" i="1" a="1"/>
  <c r="S975" i="1" s="1"/>
  <c r="S976" i="1" a="1"/>
  <c r="S976" i="1" s="1"/>
  <c r="S977" i="1" a="1"/>
  <c r="S977" i="1" s="1"/>
  <c r="S978" i="1" a="1"/>
  <c r="S978" i="1" s="1"/>
  <c r="S979" i="1" a="1"/>
  <c r="S979" i="1" s="1"/>
  <c r="S980" i="1" a="1"/>
  <c r="S980" i="1" s="1"/>
  <c r="S981" i="1" a="1"/>
  <c r="S981" i="1" s="1"/>
  <c r="S982" i="1" a="1"/>
  <c r="S982" i="1" s="1"/>
  <c r="S983" i="1" a="1"/>
  <c r="S983" i="1" s="1"/>
  <c r="S984" i="1" a="1"/>
  <c r="S984" i="1" s="1"/>
  <c r="S985" i="1" a="1"/>
  <c r="S985" i="1" s="1"/>
  <c r="S986" i="1" a="1"/>
  <c r="S986" i="1" s="1"/>
  <c r="S987" i="1" a="1"/>
  <c r="S987" i="1" s="1"/>
  <c r="S988" i="1" a="1"/>
  <c r="S988" i="1" s="1"/>
  <c r="S989" i="1" a="1"/>
  <c r="S989" i="1" s="1"/>
  <c r="S990" i="1" a="1"/>
  <c r="S990" i="1" s="1"/>
  <c r="S991" i="1" a="1"/>
  <c r="S991" i="1" s="1"/>
  <c r="S992" i="1" a="1"/>
  <c r="S992" i="1" s="1"/>
  <c r="S993" i="1" a="1"/>
  <c r="S993" i="1" s="1"/>
  <c r="S994" i="1" a="1"/>
  <c r="S994" i="1" s="1"/>
  <c r="S995" i="1" a="1"/>
  <c r="S995" i="1" s="1"/>
  <c r="S996" i="1" a="1"/>
  <c r="S996" i="1" s="1"/>
  <c r="S997" i="1" a="1"/>
  <c r="S997" i="1" s="1"/>
  <c r="S998" i="1" a="1"/>
  <c r="S998" i="1" s="1"/>
  <c r="S999" i="1" a="1"/>
  <c r="S999" i="1" s="1"/>
  <c r="S1000" i="1" a="1"/>
  <c r="S1000" i="1" s="1"/>
  <c r="S1001" i="1" a="1"/>
  <c r="S1001" i="1"/>
  <c r="S2" i="1" a="1"/>
  <c r="S2" i="1" s="1"/>
  <c r="L3" i="1"/>
  <c r="L4" i="1"/>
  <c r="L5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2" i="1"/>
  <c r="E8" i="6" l="1"/>
  <c r="E6" i="6"/>
  <c r="F6" i="6" s="1"/>
  <c r="E7" i="6"/>
  <c r="G7" i="6" s="1"/>
  <c r="E10" i="6"/>
  <c r="G10" i="6" s="1"/>
  <c r="F7" i="6"/>
  <c r="G3" i="6"/>
  <c r="F3" i="6"/>
  <c r="G11" i="6"/>
  <c r="F11" i="6"/>
  <c r="F8" i="6"/>
  <c r="G8" i="6"/>
  <c r="E2" i="6"/>
  <c r="G2" i="6" s="1"/>
  <c r="E13" i="6"/>
  <c r="G13" i="6" s="1"/>
  <c r="E5" i="6"/>
  <c r="F5" i="6" s="1"/>
  <c r="E12" i="6"/>
  <c r="G12" i="6" s="1"/>
  <c r="E4" i="6"/>
  <c r="F4" i="6" s="1"/>
  <c r="E9" i="6"/>
  <c r="F9" i="6" s="1"/>
  <c r="G6" i="6" l="1"/>
  <c r="F10" i="6"/>
  <c r="G9" i="6"/>
  <c r="F2" i="6"/>
  <c r="F13" i="6"/>
  <c r="G5" i="6"/>
  <c r="F12" i="6"/>
  <c r="G4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<sst xmlns="http://schemas.openxmlformats.org/spreadsheetml/2006/main" count="7086" uniqueCount="2120">
  <si>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</si>
  <si>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</si>
  <si>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</si>
  <si>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</si>
  <si>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</si>
  <si>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</si>
  <si>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</si>
  <si>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</si>
  <si>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</si>
  <si>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</si>
  <si>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</si>
  <si>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</si>
  <si>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</si>
  <si>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</si>
  <si>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</si>
  <si>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</si>
  <si>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</si>
  <si>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</si>
  <si>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</si>
  <si>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</si>
  <si>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</si>
  <si>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</si>
  <si>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</si>
  <si>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</si>
  <si>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</si>
  <si>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</si>
  <si>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</si>
  <si>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</si>
  <si>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</si>
  <si>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</si>
  <si>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</si>
  <si>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</si>
  <si>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</si>
  <si>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</si>
  <si>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</si>
  <si>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</si>
  <si>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</si>
  <si>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</si>
  <si>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</si>
  <si>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</si>
  <si>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</si>
  <si>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</si>
  <si>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</si>
  <si>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</si>
  <si>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</si>
  <si>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</si>
  <si>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</si>
  <si>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</si>
  <si>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</si>
  <si>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</si>
  <si>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</si>
  <si>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</si>
  <si>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</si>
  <si>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</si>
  <si>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</si>
  <si>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</si>
  <si>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</si>
  <si>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</si>
  <si>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</si>
  <si>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</si>
  <si>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</si>
  <si>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</si>
  <si>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</si>
  <si>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</si>
  <si>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</si>
  <si>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</si>
  <si>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</si>
  <si>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</si>
  <si>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</si>
  <si>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</si>
  <si>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</si>
  <si>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</si>
  <si>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</si>
  <si>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</si>
  <si>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</si>
  <si>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</si>
  <si>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</si>
  <si>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</si>
  <si>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</si>
  <si>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</si>
  <si>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</si>
  <si>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</si>
  <si>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</si>
  <si>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</si>
  <si>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</si>
  <si>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</si>
  <si>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</si>
  <si>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</si>
  <si>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</si>
  <si>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</si>
  <si>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</si>
  <si>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</si>
  <si>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</si>
  <si>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</si>
  <si>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</si>
  <si>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</si>
  <si>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</si>
  <si>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</si>
  <si>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</si>
  <si>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</si>
  <si>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</si>
  <si>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</si>
  <si>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</si>
  <si>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</si>
  <si>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</si>
  <si>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</si>
  <si>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</si>
  <si>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</si>
  <si>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</si>
  <si>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</si>
  <si>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</si>
  <si>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</si>
  <si>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</si>
  <si>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</si>
  <si>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</si>
  <si>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</si>
  <si>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</si>
  <si>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</si>
  <si>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</si>
  <si>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</si>
  <si>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</si>
  <si>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</si>
  <si>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</si>
  <si>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</si>
  <si>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</si>
  <si>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</si>
  <si>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</si>
  <si>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</si>
  <si>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</si>
  <si>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</si>
  <si>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</si>
  <si>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</si>
  <si>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</si>
  <si>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</si>
  <si>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</si>
  <si>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</si>
  <si>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</si>
  <si>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</si>
  <si>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</si>
  <si>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</si>
  <si>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</si>
  <si>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</si>
  <si>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</si>
  <si>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</si>
  <si>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</si>
  <si>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</si>
  <si>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</si>
  <si>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</si>
  <si>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</si>
  <si>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</si>
  <si>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</si>
  <si>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</si>
  <si>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</si>
  <si>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</si>
  <si>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</si>
  <si>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</si>
  <si>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</si>
  <si>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</si>
  <si>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</si>
  <si>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</si>
  <si>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</si>
  <si>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</si>
  <si>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</si>
  <si>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</si>
  <si>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</si>
  <si>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</si>
  <si>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</si>
  <si>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</si>
  <si>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</si>
  <si>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</si>
  <si>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</si>
  <si>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</si>
  <si>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</si>
  <si>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</si>
  <si>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</si>
  <si>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</si>
  <si>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</si>
  <si>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</si>
  <si>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</si>
  <si>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</si>
  <si>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</si>
  <si>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</si>
  <si>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</si>
  <si>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</si>
  <si>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</si>
  <si>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</si>
  <si>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</si>
  <si>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</si>
  <si>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</si>
  <si>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</si>
  <si>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</si>
  <si>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</si>
  <si>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</si>
  <si>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</si>
  <si>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</si>
  <si>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</si>
  <si>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</si>
  <si>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</si>
  <si>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</si>
  <si>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</si>
  <si>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</si>
  <si>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</si>
  <si>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</si>
  <si>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</si>
  <si>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</si>
  <si>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</si>
  <si>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</si>
  <si>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</si>
  <si>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</si>
  <si>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</si>
  <si>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</si>
  <si>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</si>
  <si>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</si>
  <si>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</si>
  <si>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</si>
  <si>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</si>
  <si>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</si>
  <si>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</si>
  <si>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</si>
  <si>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</si>
  <si>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</si>
  <si>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</si>
  <si>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</si>
  <si>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</si>
  <si>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</si>
  <si>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</si>
  <si>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</si>
  <si>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</si>
  <si>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</si>
  <si>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</si>
  <si>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</si>
  <si>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</si>
  <si>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</si>
  <si>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</si>
  <si>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</si>
  <si>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</si>
  <si>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</si>
  <si>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</si>
  <si>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</si>
  <si>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</si>
  <si>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</si>
  <si>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</si>
  <si>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</si>
  <si>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</si>
  <si>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</si>
  <si>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</si>
  <si>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</si>
  <si>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</si>
  <si>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</si>
  <si>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</si>
  <si>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</si>
  <si>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</si>
  <si>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</si>
  <si>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</si>
  <si>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</si>
  <si>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</si>
  <si>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</si>
  <si>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</si>
  <si>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</si>
  <si>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</si>
  <si>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</si>
  <si>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</si>
  <si>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</si>
  <si>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</si>
  <si>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</si>
  <si>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</si>
  <si>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</si>
  <si>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</si>
  <si>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</si>
  <si>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</si>
  <si>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</si>
  <si>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</si>
  <si>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</si>
  <si>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</si>
  <si>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</si>
  <si>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</si>
  <si>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</si>
  <si>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</si>
  <si>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</si>
  <si>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</si>
  <si>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</si>
  <si>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</si>
  <si>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</si>
  <si>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</si>
  <si>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</si>
  <si>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</si>
  <si>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</si>
  <si>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</si>
  <si>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</si>
  <si>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</si>
  <si>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</si>
  <si>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</si>
  <si>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</si>
  <si>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</si>
  <si>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</si>
  <si>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</si>
  <si>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</si>
  <si>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</si>
  <si>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</si>
  <si>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</si>
  <si>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</si>
  <si>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</si>
  <si>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</si>
  <si>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</si>
  <si>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</si>
  <si>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</si>
  <si>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</si>
  <si>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</si>
  <si>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</si>
  <si>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</si>
  <si>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</si>
  <si>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</si>
  <si>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</si>
  <si>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</si>
  <si>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</si>
  <si>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</si>
  <si>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</si>
  <si>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</si>
  <si>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</si>
  <si>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</si>
  <si>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</si>
  <si>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</si>
  <si>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</si>
  <si>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</si>
  <si>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</si>
  <si>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</si>
  <si>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</si>
  <si>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</si>
  <si>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</si>
  <si>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</si>
  <si>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</si>
  <si>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</si>
  <si>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</si>
  <si>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</si>
  <si>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</si>
  <si>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</si>
  <si>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</si>
  <si>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</si>
  <si>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</si>
  <si>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</si>
  <si>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</si>
  <si>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</si>
  <si>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</si>
  <si>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</si>
  <si>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</si>
  <si>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</si>
  <si>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</si>
  <si>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</si>
  <si>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</si>
  <si>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</si>
  <si>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</si>
  <si>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</si>
  <si>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</si>
  <si>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</si>
  <si>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</si>
  <si>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</si>
  <si>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</si>
  <si>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</si>
  <si>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</si>
  <si>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</si>
  <si>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</si>
  <si>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</si>
  <si>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</si>
  <si>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</si>
  <si>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</si>
  <si>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</si>
  <si>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</si>
  <si>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</si>
  <si>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</si>
  <si>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</si>
  <si>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</si>
  <si>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</si>
  <si>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</si>
  <si>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</si>
  <si>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</si>
  <si>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</si>
  <si>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</si>
  <si>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</si>
  <si>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</si>
  <si>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</si>
  <si>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</si>
  <si>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</si>
  <si>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</si>
  <si>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</si>
  <si>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</si>
  <si>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</si>
  <si>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</si>
  <si>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</si>
  <si>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</si>
  <si>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</si>
  <si>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</si>
  <si>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</si>
  <si>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</si>
  <si>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</si>
  <si>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</si>
  <si>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</si>
  <si>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</si>
  <si>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</si>
  <si>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</si>
  <si>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</si>
  <si>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</si>
  <si>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</si>
  <si>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</si>
  <si>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</si>
  <si>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</si>
  <si>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</si>
  <si>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</si>
  <si>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</si>
  <si>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</si>
  <si>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</si>
  <si>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</si>
  <si>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</si>
  <si>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</si>
  <si>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</si>
  <si>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</si>
  <si>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</si>
  <si>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</si>
  <si>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</si>
  <si>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</si>
  <si>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</si>
  <si>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</si>
  <si>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</si>
  <si>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</si>
  <si>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</si>
  <si>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</si>
  <si>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</si>
  <si>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</si>
  <si>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</si>
  <si>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</si>
  <si>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</si>
  <si>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</si>
  <si>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</si>
  <si>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</si>
  <si>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</si>
  <si>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</si>
  <si>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</si>
  <si>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</si>
  <si>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</si>
  <si>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</si>
  <si>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</si>
  <si>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</si>
  <si>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</si>
  <si>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</si>
  <si>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</si>
  <si>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</si>
  <si>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</si>
  <si>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</si>
  <si>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</si>
  <si>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</si>
  <si>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</si>
  <si>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</si>
  <si>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</si>
  <si>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</si>
  <si>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</si>
  <si>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</si>
  <si>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</si>
  <si>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</si>
  <si>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</si>
  <si>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</si>
  <si>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</si>
  <si>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</si>
  <si>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</si>
  <si>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</si>
  <si>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</si>
  <si>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</si>
  <si>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</si>
  <si>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</si>
  <si>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</si>
  <si>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</si>
  <si>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</si>
  <si>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</si>
  <si>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</si>
  <si>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</si>
  <si>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</si>
  <si>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</si>
  <si>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</si>
  <si>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</si>
  <si>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</si>
  <si>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</si>
  <si>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</si>
  <si>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</si>
  <si>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</si>
  <si>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</si>
  <si>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</si>
  <si>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</si>
  <si>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</si>
  <si>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</si>
  <si>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</si>
  <si>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</si>
  <si>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</si>
  <si>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</si>
  <si>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</si>
  <si>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</si>
  <si>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</si>
  <si>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</si>
  <si>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</si>
  <si>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</si>
  <si>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</si>
  <si>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</si>
  <si>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</si>
  <si>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</si>
  <si>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</si>
  <si>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</si>
  <si>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</si>
  <si>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</si>
  <si>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</si>
  <si>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</si>
  <si>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</si>
  <si>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</si>
  <si>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</si>
  <si>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</si>
  <si>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</si>
  <si>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</si>
  <si>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</si>
  <si>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</si>
  <si>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</si>
  <si>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</si>
  <si>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</si>
  <si>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</si>
  <si>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</si>
  <si>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</si>
  <si>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</si>
  <si>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</si>
  <si>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</si>
  <si>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</si>
  <si>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</si>
  <si>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</si>
  <si>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</si>
  <si>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</si>
  <si>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</si>
  <si>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</si>
  <si>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</si>
  <si>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</si>
  <si>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</si>
  <si>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</si>
  <si>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</si>
  <si>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</si>
  <si>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</si>
  <si>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</si>
  <si>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</si>
  <si>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</si>
  <si>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</si>
  <si>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</si>
  <si>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</si>
  <si>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</si>
  <si>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</si>
  <si>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</si>
  <si>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</si>
  <si>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</si>
  <si>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</si>
  <si>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</si>
  <si>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</si>
  <si>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</si>
  <si>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</si>
  <si>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</si>
  <si>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</si>
  <si>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</si>
  <si>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</si>
  <si>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</si>
  <si>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</si>
  <si>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</si>
  <si>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</si>
  <si>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</si>
  <si>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</si>
  <si>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</si>
  <si>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</si>
  <si>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</si>
  <si>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</si>
  <si>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</si>
  <si>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</si>
  <si>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</si>
  <si>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</si>
  <si>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</si>
  <si>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</si>
  <si>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</si>
  <si>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</si>
  <si>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</si>
  <si>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</si>
  <si>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</si>
  <si>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</si>
  <si>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</si>
  <si>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</si>
  <si>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</si>
  <si>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</si>
  <si>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</si>
  <si>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</si>
  <si>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</si>
  <si>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</si>
  <si>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</si>
  <si>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</si>
  <si>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</si>
  <si>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</si>
  <si>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</si>
  <si>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</si>
  <si>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</si>
  <si>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</si>
  <si>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</si>
  <si>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</si>
  <si>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</si>
  <si>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</si>
  <si>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</si>
  <si>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</si>
  <si>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</si>
  <si>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</si>
  <si>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</si>
  <si>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</si>
  <si>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</si>
  <si>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</si>
  <si>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</si>
  <si>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</si>
  <si>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</si>
  <si>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</si>
  <si>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</si>
  <si>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</si>
  <si>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</si>
  <si>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</si>
  <si>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</si>
  <si>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</si>
  <si>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</si>
  <si>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</si>
  <si>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</si>
  <si>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</si>
  <si>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</si>
  <si>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</si>
  <si>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</si>
  <si>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</si>
  <si>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</si>
  <si>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</si>
  <si>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</si>
  <si>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</si>
  <si>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</si>
  <si>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</si>
  <si>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</si>
  <si>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</si>
  <si>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</si>
  <si>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</si>
  <si>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</si>
  <si>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</si>
  <si>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</si>
  <si>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</si>
  <si>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</si>
  <si>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</si>
  <si>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</si>
  <si>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</si>
  <si>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</si>
  <si>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</si>
  <si>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</si>
  <si>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</si>
  <si>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</si>
  <si>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</si>
  <si>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</si>
  <si>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</si>
  <si>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</si>
  <si>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</si>
  <si>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</si>
  <si>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</si>
  <si>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</si>
  <si>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</si>
  <si>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</si>
  <si>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</si>
  <si>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</si>
  <si>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</si>
  <si>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</si>
  <si>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</si>
  <si>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</si>
  <si>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</si>
  <si>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</si>
  <si>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</si>
  <si>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</si>
  <si>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</si>
  <si>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</si>
  <si>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</si>
  <si>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</si>
  <si>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</si>
  <si>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</si>
  <si>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</si>
  <si>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</si>
  <si>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</si>
  <si>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</si>
  <si>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</si>
  <si>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</si>
  <si>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</si>
  <si>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</si>
  <si>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</si>
  <si>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</si>
  <si>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</si>
  <si>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</si>
  <si>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</si>
  <si>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</si>
  <si>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</si>
  <si>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</si>
  <si>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</si>
  <si>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</si>
  <si>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</si>
  <si>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</si>
  <si>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</si>
  <si>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</si>
  <si>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</si>
  <si>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</si>
  <si>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</si>
  <si>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</si>
  <si>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</si>
  <si>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</si>
  <si>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</si>
  <si>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</si>
  <si>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</si>
  <si>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</si>
  <si>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</si>
  <si>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</si>
  <si>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</si>
  <si>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</si>
  <si>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</si>
  <si>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</si>
  <si>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</si>
  <si>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</si>
  <si>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</si>
  <si>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</si>
  <si>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</si>
  <si>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</si>
  <si>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</si>
  <si>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</si>
  <si>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</si>
  <si>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</si>
  <si>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</si>
  <si>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</si>
  <si>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</si>
  <si>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</si>
  <si>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</si>
  <si>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</si>
  <si>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</si>
  <si>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</si>
  <si>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</si>
  <si>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</si>
  <si>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</si>
  <si>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</si>
  <si>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</si>
  <si>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</si>
  <si>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</si>
  <si>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</si>
  <si>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</si>
  <si>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</si>
  <si>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</si>
  <si>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</si>
  <si>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</si>
  <si>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</si>
  <si>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</si>
  <si>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</si>
  <si>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</si>
  <si>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</si>
  <si>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</si>
  <si>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</si>
  <si>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</si>
  <si>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</si>
  <si>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</si>
  <si>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</si>
  <si>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</si>
  <si>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</si>
  <si>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</si>
  <si>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</si>
  <si>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</si>
  <si>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</si>
  <si>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</si>
  <si>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</si>
  <si>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</si>
  <si>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</si>
  <si>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</si>
  <si>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</si>
  <si>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</si>
  <si>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</si>
  <si>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</si>
  <si>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</si>
  <si>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</si>
  <si>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</si>
  <si>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</si>
  <si>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</si>
  <si>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</si>
  <si>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</si>
  <si>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</si>
  <si>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</si>
  <si>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</si>
  <si>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</si>
  <si>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</si>
  <si>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</si>
  <si>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</si>
  <si>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</si>
  <si>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</si>
  <si>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</si>
  <si>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</si>
  <si>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</si>
  <si>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</si>
  <si>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</si>
  <si>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</si>
  <si>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</si>
  <si>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</si>
  <si>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</si>
  <si>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</si>
  <si>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</si>
  <si>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</si>
  <si>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</si>
  <si>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</si>
  <si>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</si>
  <si>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</si>
  <si>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</si>
  <si>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</si>
  <si>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</si>
  <si>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</si>
  <si>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</si>
  <si>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</si>
  <si>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</si>
  <si>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</si>
  <si>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</si>
  <si>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</si>
  <si>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</si>
  <si>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</si>
  <si>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</si>
  <si>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</si>
  <si>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</si>
  <si>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</si>
  <si>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</si>
  <si>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</si>
  <si>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</si>
  <si>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</si>
  <si>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</si>
  <si>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</si>
  <si>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</si>
  <si>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</si>
  <si>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</si>
  <si>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</si>
  <si>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</si>
  <si>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</si>
  <si>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</si>
  <si>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</si>
  <si>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</si>
  <si>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</si>
  <si>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</si>
  <si>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</si>
  <si>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</si>
  <si>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</si>
  <si>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</si>
  <si>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</si>
  <si>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</si>
  <si>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</si>
  <si>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</si>
  <si>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</si>
  <si>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</si>
  <si>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</si>
  <si>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</si>
  <si>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</si>
  <si>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</si>
  <si>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</si>
  <si>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</si>
  <si>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</si>
  <si>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</si>
  <si>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</si>
  <si>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</si>
  <si>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</si>
  <si>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</si>
  <si>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</si>
  <si>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</si>
  <si>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</si>
  <si>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</si>
  <si>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</si>
  <si>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</si>
  <si>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</si>
  <si>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</si>
  <si>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</si>
  <si>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</si>
  <si>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</si>
  <si>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</si>
  <si>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</si>
  <si>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</si>
  <si>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</si>
  <si>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</si>
  <si>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</si>
  <si>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</si>
  <si>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</si>
  <si>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</si>
  <si>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</si>
  <si>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</si>
  <si>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</si>
  <si>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</si>
  <si>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</si>
  <si>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</si>
  <si>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</si>
  <si>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</si>
  <si>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</si>
  <si>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</si>
  <si>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</si>
  <si>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</si>
  <si>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</si>
  <si>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</si>
  <si>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</si>
  <si>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</si>
  <si>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</si>
  <si>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</si>
  <si>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</si>
  <si>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</si>
  <si>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</si>
  <si>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</si>
  <si>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</si>
  <si>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</si>
  <si>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</si>
  <si>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</si>
  <si>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</si>
  <si>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</si>
  <si>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</si>
  <si>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</si>
  <si>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</si>
  <si>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</si>
  <si>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</si>
  <si>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</si>
  <si>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</si>
  <si>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</si>
  <si>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</si>
  <si>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</si>
  <si>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</si>
  <si>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</si>
  <si>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</si>
  <si>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</si>
  <si>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</si>
  <si>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</si>
  <si>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</si>
  <si>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</si>
  <si>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</si>
  <si>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</si>
  <si>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</si>
  <si>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</si>
  <si>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</si>
  <si>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</si>
  <si>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</si>
  <si>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</si>
  <si>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</si>
  <si>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</si>
  <si>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</si>
  <si>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</si>
  <si>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</si>
  <si>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</si>
  <si>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</si>
  <si>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</si>
  <si>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</si>
  <si>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</si>
  <si>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</si>
  <si>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</si>
  <si>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</si>
  <si>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</si>
  <si>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</si>
  <si>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</si>
  <si>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</si>
  <si>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</si>
  <si>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</si>
  <si>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</si>
  <si>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</si>
  <si>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</si>
  <si>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</si>
  <si>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</si>
  <si>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</si>
  <si>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</si>
  <si>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</si>
  <si>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</si>
  <si>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</si>
  <si>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</si>
  <si>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</si>
  <si>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</si>
  <si>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</si>
  <si>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</si>
  <si>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</si>
  <si>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</si>
  <si>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</si>
  <si>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</si>
  <si>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</si>
  <si>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</si>
  <si>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</si>
  <si>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</si>
  <si>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</si>
  <si>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</si>
  <si>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</si>
  <si>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</si>
  <si>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</si>
  <si>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</si>
  <si>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</si>
  <si>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</si>
  <si>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</si>
  <si>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</si>
  <si>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</si>
  <si>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</si>
  <si>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</si>
  <si>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</si>
  <si>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</si>
  <si>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</si>
  <si>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</si>
  <si>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</si>
  <si>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</si>
  <si>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</si>
  <si>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</si>
  <si>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</si>
  <si>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</si>
  <si>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</si>
  <si>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</si>
  <si>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</si>
  <si>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</si>
  <si>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</si>
  <si>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</si>
  <si>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</si>
  <si>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</si>
  <si>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</si>
  <si>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</si>
  <si>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</si>
  <si>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</si>
  <si>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</si>
  <si>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</si>
  <si>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</si>
  <si>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</si>
  <si>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</si>
  <si>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</si>
  <si>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</si>
  <si>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</si>
  <si>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</si>
  <si>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</si>
  <si>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</si>
  <si>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</si>
  <si>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</si>
  <si>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</si>
  <si>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</si>
  <si>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</si>
  <si>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</si>
  <si>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</si>
  <si>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</si>
  <si>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</si>
  <si>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</si>
  <si>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</si>
  <si>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</si>
  <si>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</si>
  <si>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</si>
  <si>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</si>
  <si>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</si>
  <si>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</si>
  <si>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</si>
  <si>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</si>
  <si>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</si>
  <si>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</si>
  <si>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</si>
  <si>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</si>
  <si>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</si>
  <si>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</si>
  <si>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</si>
  <si>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</si>
  <si>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</si>
  <si>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</si>
  <si>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</si>
  <si>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</si>
  <si>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</si>
  <si>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</si>
  <si>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</si>
  <si>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</si>
  <si>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</si>
  <si>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</si>
  <si>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</si>
  <si>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</si>
  <si>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</si>
  <si>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</si>
  <si>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</si>
  <si>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</si>
  <si>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</si>
  <si>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</si>
  <si>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</si>
  <si>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</si>
  <si>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</si>
  <si>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</si>
  <si>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</si>
  <si>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</si>
  <si>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</si>
  <si>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</si>
  <si>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</si>
  <si>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</si>
  <si>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</si>
  <si>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</si>
  <si>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</si>
  <si>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</si>
  <si>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</si>
  <si>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</si>
  <si>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</si>
  <si>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</si>
  <si>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</si>
  <si>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</si>
  <si>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</si>
  <si>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</si>
  <si>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</si>
  <si>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</si>
  <si>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</si>
  <si>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</si>
  <si>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</si>
  <si>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</si>
  <si>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</si>
  <si>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</si>
  <si>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</si>
  <si>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</si>
  <si>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</si>
  <si>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</si>
  <si>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</si>
  <si>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</si>
  <si>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</si>
  <si>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</si>
  <si>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</si>
  <si>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</si>
  <si>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</si>
  <si>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</si>
  <si>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</si>
  <si>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</si>
  <si>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</si>
  <si>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</si>
  <si>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</si>
  <si>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</si>
  <si>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</si>
  <si>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</si>
  <si>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</si>
  <si>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</si>
  <si>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</si>
  <si>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</si>
  <si>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</si>
  <si>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</si>
  <si>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</si>
  <si>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</si>
  <si>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</si>
  <si>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</si>
  <si>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</si>
  <si>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</si>
  <si>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</si>
  <si>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</si>
  <si>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</si>
  <si>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</si>
  <si>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</si>
  <si>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</si>
  <si>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</si>
  <si>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</si>
  <si>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</si>
  <si>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</si>
  <si>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</si>
  <si>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</si>
  <si>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</si>
  <si>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</si>
  <si>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</si>
  <si>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</si>
  <si>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</si>
  <si>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</si>
  <si>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</si>
  <si>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</si>
  <si>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</si>
  <si>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</si>
  <si>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</si>
  <si>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</si>
  <si>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</si>
  <si>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</si>
  <si>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</si>
  <si>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</si>
  <si>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</si>
  <si>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</si>
  <si>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</si>
  <si>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</si>
  <si>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</si>
  <si>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</si>
  <si>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</si>
  <si>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</si>
  <si>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</si>
  <si>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</si>
  <si>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</si>
  <si>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</si>
  <si>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</si>
  <si>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</si>
  <si>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</si>
  <si>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</si>
  <si>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</si>
  <si>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</si>
  <si>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</si>
  <si>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</si>
  <si>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</si>
  <si>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</si>
  <si>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</si>
  <si>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</si>
  <si>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</si>
  <si>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</si>
  <si>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</si>
  <si>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</si>
  <si>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</si>
  <si>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</si>
  <si>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</si>
  <si>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</si>
  <si>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</si>
  <si>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</si>
  <si>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</si>
  <si>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</si>
  <si>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</si>
  <si>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</si>
  <si>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</si>
  <si>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</si>
  <si>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</si>
  <si>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</si>
  <si>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</si>
  <si>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</si>
  <si>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</si>
  <si>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</si>
  <si>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</si>
  <si>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</si>
  <si>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</si>
  <si>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</si>
  <si>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</si>
  <si>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</si>
  <si>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</si>
  <si>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</si>
  <si>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</si>
  <si>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</si>
  <si>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</si>
  <si>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</si>
  <si>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</si>
  <si>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</si>
  <si>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</si>
  <si>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</si>
  <si>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</si>
  <si>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</si>
  <si>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</si>
  <si>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</si>
  <si>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</si>
  <si>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</si>
  <si>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</si>
  <si>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</si>
  <si>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</si>
  <si>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</si>
  <si>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</si>
  <si>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</si>
  <si>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</si>
  <si>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</si>
  <si>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</si>
  <si>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</si>
  <si>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</si>
  <si>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</si>
  <si>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</si>
  <si>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</si>
  <si>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</si>
  <si>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</si>
  <si>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</si>
  <si>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</si>
  <si>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</si>
  <si>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</si>
  <si>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</si>
  <si>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</si>
  <si>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</si>
  <si>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</si>
  <si>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</si>
  <si>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</si>
  <si>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</si>
  <si>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</si>
  <si>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</si>
  <si>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</si>
  <si>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</si>
  <si>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</si>
  <si>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</si>
  <si>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</si>
  <si>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</si>
  <si>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</si>
  <si>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</si>
  <si>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</si>
  <si>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</si>
  <si>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</si>
  <si>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</si>
  <si>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</si>
  <si>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</si>
  <si>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</si>
  <si>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</si>
  <si>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</si>
  <si>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</si>
  <si>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</si>
  <si>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</si>
  <si>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</si>
  <si>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</si>
  <si>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</si>
  <si>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</si>
  <si>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</si>
  <si>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</si>
  <si>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</si>
  <si>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</si>
  <si>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</si>
  <si>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</si>
  <si>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</si>
  <si>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</si>
  <si>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</si>
  <si>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</si>
  <si>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</si>
  <si>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</si>
  <si>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</si>
  <si>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</si>
  <si>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</si>
  <si>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</si>
  <si>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</si>
  <si>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</si>
  <si>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</si>
  <si>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</si>
  <si>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</si>
  <si>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</si>
  <si>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</si>
  <si>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</si>
  <si>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</si>
  <si>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</si>
  <si>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</si>
  <si>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</si>
  <si>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</si>
  <si>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</si>
  <si>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</si>
  <si>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</si>
  <si>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</si>
  <si>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</si>
  <si>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</si>
  <si>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</si>
  <si>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</si>
  <si>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</si>
  <si>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</si>
  <si>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</si>
  <si>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</si>
  <si>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</si>
  <si>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</si>
  <si>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</si>
  <si>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</si>
  <si>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</si>
  <si>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</si>
  <si>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</si>
  <si>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</si>
  <si>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</si>
  <si>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</si>
  <si>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</si>
  <si>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</si>
  <si>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</si>
  <si>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</si>
  <si>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</si>
  <si>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</si>
  <si>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</si>
  <si>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</si>
  <si>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</si>
  <si>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</si>
  <si>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</si>
  <si>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</si>
  <si>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</si>
  <si>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</si>
  <si>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</si>
  <si>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</si>
  <si>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</si>
  <si>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</si>
  <si>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</si>
  <si>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</si>
  <si>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</si>
  <si>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</si>
  <si>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</si>
  <si>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</si>
  <si>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</si>
  <si>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</si>
  <si>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</si>
  <si>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</si>
  <si>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</si>
  <si>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</si>
  <si>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</si>
  <si>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</si>
  <si>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</si>
  <si>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</si>
  <si>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</si>
  <si>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</si>
  <si>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</si>
  <si>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</si>
  <si>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</si>
  <si>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</si>
  <si>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</si>
  <si>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</si>
  <si>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</si>
  <si>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</si>
  <si>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</si>
  <si>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</si>
  <si>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</si>
  <si>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</si>
  <si>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</si>
  <si>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</si>
  <si>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</si>
  <si>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</si>
  <si>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</si>
  <si>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</si>
  <si>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</si>
  <si>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</si>
  <si>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</si>
  <si>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</si>
  <si>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</si>
  <si>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</si>
  <si>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</si>
  <si>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</si>
  <si>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</si>
  <si>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</si>
  <si>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</si>
  <si>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</si>
  <si>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</si>
  <si>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</si>
  <si>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</si>
  <si>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</si>
  <si>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</si>
  <si>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</si>
  <si>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</si>
  <si>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</si>
  <si>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</si>
  <si>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</si>
  <si>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</si>
  <si>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</si>
  <si>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</si>
  <si>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</si>
  <si>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</si>
  <si>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</si>
  <si>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</si>
  <si>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</si>
  <si>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</si>
  <si>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</si>
  <si>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</si>
  <si>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</si>
  <si>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</si>
  <si>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</si>
  <si>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</si>
  <si>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</si>
  <si>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</si>
  <si>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</si>
  <si>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</si>
  <si>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</si>
  <si>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</si>
  <si>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</si>
  <si>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</si>
  <si>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</si>
  <si>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</si>
  <si>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</si>
  <si>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</si>
  <si>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</si>
  <si>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</si>
  <si>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</si>
  <si>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</si>
  <si>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</si>
  <si>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</si>
  <si>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</si>
  <si>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</si>
  <si>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</si>
  <si>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</si>
  <si>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</si>
  <si>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</si>
  <si>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</si>
  <si>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</si>
  <si>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</si>
  <si>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</si>
  <si>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</si>
  <si>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</si>
  <si>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</si>
  <si>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</si>
  <si>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</si>
  <si>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</si>
  <si>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</si>
  <si>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</si>
  <si>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</si>
  <si>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</si>
  <si>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</si>
  <si>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</si>
  <si>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</si>
  <si>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</si>
  <si>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</si>
  <si>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</si>
  <si>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</si>
  <si>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</si>
  <si>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</si>
  <si>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</si>
  <si>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</si>
  <si>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</si>
  <si>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</si>
  <si>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</si>
  <si>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</si>
  <si>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</si>
  <si>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</si>
  <si>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</si>
  <si>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</si>
  <si>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</si>
  <si>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</si>
  <si>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</si>
  <si>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</si>
  <si>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</si>
  <si>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</si>
  <si>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</si>
  <si>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</si>
  <si>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</si>
  <si>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</si>
  <si>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</si>
  <si>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</si>
  <si>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</si>
  <si>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</si>
  <si>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</si>
  <si>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</si>
  <si>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</si>
  <si>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</si>
  <si>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</si>
  <si>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</si>
  <si>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</si>
  <si>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</si>
  <si>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</si>
  <si>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</si>
  <si>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</si>
  <si>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</si>
  <si>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</si>
  <si>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</si>
  <si>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</si>
  <si>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</si>
  <si>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</si>
  <si>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</si>
  <si>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</si>
  <si>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</si>
  <si>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</si>
  <si>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</si>
  <si>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</si>
  <si>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</si>
  <si>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</si>
  <si>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</si>
  <si>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</si>
  <si>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</si>
  <si>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</si>
  <si>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</si>
  <si>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</si>
  <si>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</si>
  <si>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</si>
  <si>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</si>
  <si>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</si>
  <si>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</si>
  <si>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</si>
  <si>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</si>
  <si>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</si>
  <si>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</si>
  <si>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</si>
  <si>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</si>
  <si>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</si>
  <si>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</si>
  <si>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</si>
  <si>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</si>
  <si>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</si>
  <si>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</si>
  <si>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</si>
  <si>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</si>
  <si>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</si>
  <si>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</si>
  <si>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</si>
  <si>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</si>
  <si>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</si>
  <si>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</si>
  <si>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</si>
  <si>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</si>
  <si>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</si>
  <si>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</si>
  <si>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</si>
  <si>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</si>
  <si>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</si>
  <si>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</si>
  <si>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</si>
  <si>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</si>
  <si>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</si>
  <si>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</si>
  <si>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</si>
  <si>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</si>
  <si>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</si>
  <si>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</si>
  <si>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</si>
  <si>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</si>
  <si>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</si>
  <si>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</si>
  <si>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</si>
  <si>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</si>
  <si>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</si>
  <si>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</si>
  <si>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</si>
  <si>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</si>
  <si>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</si>
  <si>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</si>
  <si>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</si>
  <si>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</si>
  <si>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</si>
  <si>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</si>
  <si>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</si>
  <si>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</si>
  <si>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</si>
  <si>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</si>
  <si>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</si>
  <si>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</si>
  <si>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</si>
  <si>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</si>
  <si>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</si>
  <si>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</si>
  <si>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</si>
  <si>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</si>
  <si>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</si>
  <si>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</si>
  <si>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</si>
  <si>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</si>
  <si>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</si>
  <si>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</si>
  <si>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</si>
  <si>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</si>
  <si>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</si>
  <si>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</si>
  <si>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</si>
  <si>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</si>
  <si>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</si>
  <si>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</si>
  <si>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</si>
  <si>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</si>
  <si>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</si>
  <si>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</si>
  <si>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</si>
  <si>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</si>
  <si>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</si>
  <si>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</si>
  <si>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</si>
  <si>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</si>
  <si>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</si>
  <si>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</si>
  <si>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</si>
  <si>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</si>
  <si>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</si>
  <si>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</si>
  <si>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</si>
  <si>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</si>
  <si>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</si>
  <si>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</si>
  <si>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</si>
  <si>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</si>
  <si>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</si>
  <si>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</si>
  <si>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</si>
  <si>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</si>
  <si>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</si>
  <si>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</si>
  <si>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</si>
  <si>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</si>
  <si>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</si>
  <si>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</si>
  <si>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</si>
  <si>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</si>
  <si>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</si>
  <si>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</si>
  <si>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</si>
  <si>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</si>
  <si>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</si>
  <si>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</si>
  <si>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</si>
  <si>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</si>
  <si>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</si>
  <si>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</si>
  <si>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</si>
  <si>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</si>
  <si>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</si>
  <si>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</si>
  <si>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</si>
  <si>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</si>
  <si>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</si>
  <si>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</si>
  <si>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</si>
  <si>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</si>
  <si>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</si>
  <si>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</si>
  <si>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</si>
  <si>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</si>
  <si>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</si>
  <si>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</si>
  <si>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</si>
  <si>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</si>
  <si>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</si>
  <si>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</si>
  <si>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</si>
  <si>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</si>
  <si>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</si>
  <si>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</si>
  <si>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</si>
  <si>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</si>
  <si>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</si>
  <si>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</si>
  <si>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</si>
  <si>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</si>
  <si>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</si>
  <si>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</si>
  <si>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</si>
  <si>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</si>
  <si>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</si>
  <si>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</si>
  <si>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</si>
  <si>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</si>
  <si>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</si>
  <si>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</si>
  <si>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</si>
  <si>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</si>
  <si>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</si>
  <si>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</si>
  <si>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</si>
  <si>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</si>
  <si>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</si>
  <si>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</si>
  <si>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</si>
  <si>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</si>
  <si>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</si>
  <si>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</si>
  <si>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</si>
  <si>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</si>
  <si>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</si>
  <si>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</si>
  <si>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</si>
  <si>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</si>
  <si>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</si>
  <si>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</si>
  <si>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</si>
  <si>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</si>
  <si>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</si>
  <si>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</si>
  <si>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</si>
  <si>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</si>
  <si>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</si>
  <si>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</si>
  <si>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</si>
  <si>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</si>
  <si>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</si>
  <si>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</si>
  <si>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</si>
  <si>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</si>
  <si>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</si>
  <si>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</si>
  <si>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</si>
  <si>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</si>
  <si>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</si>
  <si>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</si>
  <si>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</si>
  <si>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</si>
  <si>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</si>
  <si>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</si>
  <si>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</si>
  <si>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</si>
  <si>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</si>
  <si>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</si>
  <si>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</si>
  <si>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</si>
  <si>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</si>
  <si>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</si>
  <si>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</si>
  <si>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</si>
  <si>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</si>
  <si>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</si>
  <si>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</si>
  <si>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</si>
  <si>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</si>
  <si>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</si>
  <si>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</si>
  <si>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</si>
  <si>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</si>
  <si>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</si>
  <si>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</si>
  <si>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</si>
  <si>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</si>
  <si>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</si>
  <si>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</si>
  <si>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</si>
  <si>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</si>
  <si>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</si>
  <si>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</si>
  <si>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</si>
  <si>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</si>
  <si>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</si>
  <si>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</si>
  <si>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</si>
  <si>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</si>
  <si>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</si>
  <si>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</si>
  <si>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</si>
  <si>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</si>
  <si>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</si>
  <si>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</si>
  <si>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</si>
  <si>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</si>
  <si>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</si>
  <si>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</si>
  <si>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</si>
  <si>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</si>
  <si>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</si>
  <si>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</si>
  <si>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</si>
  <si>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</si>
  <si>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</si>
  <si>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</si>
  <si>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</si>
  <si>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</si>
  <si>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</si>
  <si>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</si>
  <si>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</si>
  <si>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</si>
  <si>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</si>
  <si>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</si>
  <si>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</si>
  <si>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</si>
  <si>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</si>
  <si>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</si>
  <si>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</si>
  <si>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</si>
  <si>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</si>
  <si>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</si>
  <si>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</si>
  <si>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</si>
  <si>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</si>
  <si>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</si>
  <si>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</si>
  <si>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</si>
  <si>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</si>
  <si>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</si>
  <si>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</si>
  <si>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</si>
  <si>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</si>
  <si>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</si>
  <si>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</si>
  <si>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</si>
  <si>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</si>
  <si>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</si>
  <si>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</si>
  <si>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</si>
  <si>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</si>
  <si>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</si>
  <si>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</si>
  <si>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</si>
  <si>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</si>
  <si>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</si>
  <si>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</si>
  <si>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</si>
  <si>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</si>
  <si>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</si>
  <si>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</si>
  <si>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</si>
  <si>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</si>
  <si>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</si>
  <si>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</si>
  <si>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</si>
  <si>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</si>
  <si>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</si>
  <si>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</si>
  <si>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</si>
  <si>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</si>
  <si>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</si>
  <si>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</si>
  <si>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</si>
  <si>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</si>
  <si>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</si>
  <si>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</si>
  <si>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</si>
  <si>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</si>
  <si>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</si>
  <si>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</si>
  <si>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</si>
  <si>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</si>
  <si>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</si>
  <si>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</si>
  <si>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</si>
  <si>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</si>
  <si>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</si>
  <si>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</si>
  <si>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</si>
  <si>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</si>
  <si>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</si>
  <si>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</si>
  <si>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</si>
  <si>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</si>
  <si>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</si>
  <si>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</si>
  <si>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</si>
  <si>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</si>
  <si>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</si>
  <si>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</si>
  <si>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</si>
  <si>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</si>
  <si>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</si>
  <si>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</si>
  <si>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</si>
  <si>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</si>
  <si>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</si>
  <si>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</si>
  <si>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</si>
  <si>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</si>
  <si>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</si>
  <si>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</si>
  <si>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</si>
  <si>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</si>
  <si>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</si>
  <si>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</si>
  <si>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</si>
  <si>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</si>
  <si>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</si>
  <si>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</si>
  <si>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</si>
  <si>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</si>
  <si>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</si>
  <si>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</si>
  <si>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</si>
  <si>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</si>
  <si>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</si>
  <si>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</si>
  <si>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</si>
  <si>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</si>
  <si>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</si>
  <si>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</si>
  <si>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</si>
  <si>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</si>
  <si>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</si>
  <si>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</si>
  <si>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</si>
  <si>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</si>
  <si>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</si>
  <si>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</si>
  <si>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</si>
  <si>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</si>
  <si>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</si>
  <si>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</si>
  <si>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</si>
  <si>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</si>
  <si>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</si>
  <si>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</si>
  <si>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</si>
  <si>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</si>
  <si>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</si>
  <si>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</si>
  <si>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</si>
  <si>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</si>
  <si>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</si>
  <si>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</si>
  <si>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</si>
  <si>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</si>
  <si>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</si>
  <si>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</si>
  <si>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</si>
  <si>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</si>
  <si>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</si>
  <si>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</si>
  <si>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</si>
  <si>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</si>
  <si>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</si>
  <si>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</si>
  <si>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</si>
  <si>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</si>
  <si>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</si>
  <si>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</si>
  <si>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</si>
  <si>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</si>
  <si>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</si>
  <si>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</si>
  <si>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</si>
  <si>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</si>
  <si>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</si>
  <si>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</si>
  <si>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</si>
  <si>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</si>
  <si>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</si>
  <si>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</si>
  <si>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</si>
  <si>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</si>
  <si>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</si>
  <si>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</si>
  <si>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</si>
  <si>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</si>
  <si>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</si>
  <si>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</si>
  <si>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</si>
  <si>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</si>
  <si>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</si>
  <si>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</si>
  <si>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</si>
  <si>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</si>
  <si>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</si>
  <si>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</si>
  <si>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</si>
  <si>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</si>
  <si>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</si>
  <si>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</si>
  <si>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</si>
  <si>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</si>
  <si>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</si>
  <si>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</si>
  <si>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</si>
  <si>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</si>
  <si>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</si>
  <si>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</si>
  <si>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</si>
  <si>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</si>
  <si>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</si>
  <si>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</si>
  <si>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</si>
  <si>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</si>
  <si>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</si>
  <si>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</si>
  <si>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</si>
  <si>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</si>
  <si>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</si>
  <si>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</si>
  <si>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</si>
  <si>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</si>
  <si>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</si>
  <si>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</si>
  <si>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</si>
  <si>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</si>
  <si>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</si>
  <si>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</si>
  <si>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</si>
  <si>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</si>
  <si>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</si>
  <si>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</si>
  <si>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</si>
  <si>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</si>
  <si>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</si>
  <si>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</si>
  <si>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</si>
  <si>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</si>
  <si>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</si>
  <si>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</si>
  <si>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</si>
  <si>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</si>
  <si>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</si>
  <si>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</si>
  <si>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</si>
  <si>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</si>
  <si>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</si>
  <si>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</si>
  <si>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</si>
  <si>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</si>
  <si>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</si>
  <si>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</si>
  <si>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</si>
  <si>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</si>
  <si>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</si>
  <si>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</si>
  <si>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</si>
  <si>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</si>
  <si>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</si>
  <si>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</si>
  <si>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</si>
  <si>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Row Labels</t>
  </si>
  <si>
    <t>(blank)</t>
  </si>
  <si>
    <t>Grand Total</t>
  </si>
  <si>
    <t>Count of outcome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</si>
  <si>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</si>
  <si>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</si>
  <si>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</si>
  <si>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</si>
  <si>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</si>
  <si>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</si>
  <si>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</si>
  <si>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</si>
  <si>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</si>
  <si>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animation</t>
  </si>
  <si>
    <t>documentary</t>
  </si>
  <si>
    <t>drama</t>
  </si>
  <si>
    <t>science fiction</t>
  </si>
  <si>
    <t>shorts</t>
  </si>
  <si>
    <t>television</t>
  </si>
  <si>
    <t>food trucks</t>
  </si>
  <si>
    <t>mobile games</t>
  </si>
  <si>
    <t>video games</t>
  </si>
  <si>
    <t>audio</t>
  </si>
  <si>
    <t>electric music</t>
  </si>
  <si>
    <t>indie rock</t>
  </si>
  <si>
    <t>jazz</t>
  </si>
  <si>
    <t>metal</t>
  </si>
  <si>
    <t>rock</t>
  </si>
  <si>
    <t>world music</t>
  </si>
  <si>
    <t>photography books</t>
  </si>
  <si>
    <t>fiction</t>
  </si>
  <si>
    <t>nonfiction</t>
  </si>
  <si>
    <t>radio &amp; podcasts</t>
  </si>
  <si>
    <t>translations</t>
  </si>
  <si>
    <t>wearables</t>
  </si>
  <si>
    <t>web</t>
  </si>
  <si>
    <t>plays</t>
  </si>
  <si>
    <t>Column Labels</t>
  </si>
  <si>
    <t>(All)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</si>
  <si>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</si>
  <si>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</si>
  <si>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</si>
  <si>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</si>
  <si>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</si>
  <si>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</si>
  <si>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</si>
  <si>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</si>
  <si>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</si>
  <si>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</si>
  <si>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</si>
  <si>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</si>
  <si>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</si>
  <si>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</si>
  <si>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 (Date Created Conversion)</t>
  </si>
  <si>
    <t>Goal</t>
  </si>
  <si>
    <t>Number Successful</t>
  </si>
  <si>
    <t xml:space="preserve">Number Failed </t>
  </si>
  <si>
    <t>Number Canceled</t>
  </si>
  <si>
    <t>Total Projects</t>
  </si>
  <si>
    <t>Percentage Successful</t>
  </si>
  <si>
    <t>Percaentage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</si>
  <si>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</si>
  <si>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</si>
  <si>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</si>
  <si>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</si>
  <si>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</si>
  <si>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</si>
  <si>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</si>
  <si>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</si>
  <si>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</si>
  <si>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</si>
  <si>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</si>
  <si>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</si>
  <si>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</si>
  <si>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Sum of Percentage Successful</t>
  </si>
  <si>
    <t>Sum of Percaentage Failed</t>
  </si>
  <si>
    <t>Sum of Percentage Canceled</t>
  </si>
  <si>
    <t>Number of Backers of Successful Campaigns</t>
  </si>
  <si>
    <t>Number of Backers for Unsuccessful Campaigns</t>
  </si>
  <si>
    <t>Mean</t>
  </si>
  <si>
    <t>Median</t>
  </si>
  <si>
    <t>Minimum</t>
  </si>
  <si>
    <t>Maximum</t>
  </si>
  <si>
    <t>Variance</t>
  </si>
  <si>
    <t>Standard Deviation</t>
  </si>
  <si>
    <t>Justification</t>
  </si>
  <si>
    <t>The median is a better representative of the data. There are a lot outliers, so the variance is high and the mean is skewed, so median is a better representative.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</si>
</sst>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118"/>
      <name val="Nunito Sans"/>
    </font>
    <font>
      <sz val="12"/>
      <color rgb="FF323232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43" applyFont="1"/>
    <xf numFmtId="44" fontId="0" fillId="0" borderId="0" xfId="42" applyFont="1"/>
    <xf numFmtId="0" fontId="0" fillId="0" borderId="0" xfId="0" pivotButton="1"/>
    <xf numFmtId="0" fontId="0" fillId="0" borderId="0" xfId="0" applyAlignment="1">
      <alignment horizontal="left"/>
    </xf>
    <xf numFmtId="14" fontId="16" fillId="0" borderId="0" xfId="0" applyNumberFormat="1" applyFont="1" applyAlignment="1">
      <alignment horizontal="center"/>
    </xf>
    <xf numFmtId="14" fontId="18" fillId="0" borderId="0" xfId="0" applyNumberFormat="1" applyFont="1"/>
    <xf numFmtId="14" fontId="0" fillId="0" borderId="0" xfId="0" applyNumberFormat="1"/>
    <xf numFmtId="0" fontId="19" fillId="0" borderId="0" xfId="0" applyFont="1" applyAlignment="1">
      <alignment horizontal="left" vertical="center" indent="1"/>
    </xf>
    <xf numFmtId="0" fontId="0" fillId="0" borderId="0" xfId="0" applyAlignment="1">
      <alignment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5700"/>
      </font>
      <fill>
        <patternFill>
          <bgColor rgb="FFFFEB9C"/>
        </patternFill>
      </fill>
    </dxf>
    <dxf>
      <font>
        <strike val="0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by Kendall.xlsm]By Parent Category!PivotTable1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'By Parent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'By 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'By Parent Category'!$B$5:$B$14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73-47C3-9E2B-DC52E5560AB3}"/>
            </c:ext>
          </c:extLst>
        </c:ser>
        <c:ser>
          <c:idx val="1"/>
          <c:order val="1"/>
          <c:tx>
            <c:strRef>
              <c:f>'By Parent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'By 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'By Parent Category'!$C$5:$C$14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73-47C3-9E2B-DC52E5560AB3}"/>
            </c:ext>
          </c:extLst>
        </c:ser>
        <c:ser>
          <c:idx val="2"/>
          <c:order val="2"/>
          <c:tx>
            <c:strRef>
              <c:f>'By Parent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'By 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'By Parent Category'!$D$5:$D$14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73-47C3-9E2B-DC52E5560AB3}"/>
            </c:ext>
          </c:extLst>
        </c:ser>
        <c:ser>
          <c:idx val="3"/>
          <c:order val="3"/>
          <c:tx>
            <c:strRef>
              <c:f>'By Parent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'By Parent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'By Parent Category'!$E$5:$E$14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73-47C3-9E2B-DC52E5560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585647"/>
        <c:axId val="1962517503"/>
      </c:barChart>
      <c:catAx>
        <c:axId val="120585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517503"/>
        <c:crosses val="autoZero"/>
        <c:auto val="1"/>
        <c:lblAlgn val="ctr"/>
        <c:lblOffset val="100"/>
        <c:noMultiLvlLbl val="0"/>
      </c:catAx>
      <c:valAx>
        <c:axId val="1962517503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85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by Kendall.xlsm]By Sub 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'By Sub 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'By Sub Category'!$A$6:$A$31</c:f>
              <c:strCache>
                <c:ptCount val="25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  <c:pt idx="24">
                  <c:v>(blank)</c:v>
                </c:pt>
              </c:strCache>
            </c:strRef>
          </c:cat>
          <c:val>
            <c:numRef>
              <c:f>'By Sub Category'!$B$6:$B$31</c:f>
              <c:numCache>
                <c:formatCode>General</c:formatCode>
                <c:ptCount val="25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4B-4675-B56A-2227FA5A8902}"/>
            </c:ext>
          </c:extLst>
        </c:ser>
        <c:ser>
          <c:idx val="1"/>
          <c:order val="1"/>
          <c:tx>
            <c:strRef>
              <c:f>'By Sub 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'By Sub Category'!$A$6:$A$31</c:f>
              <c:strCache>
                <c:ptCount val="25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  <c:pt idx="24">
                  <c:v>(blank)</c:v>
                </c:pt>
              </c:strCache>
            </c:strRef>
          </c:cat>
          <c:val>
            <c:numRef>
              <c:f>'By Sub Category'!$C$6:$C$31</c:f>
              <c:numCache>
                <c:formatCode>General</c:formatCode>
                <c:ptCount val="25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4B-4675-B56A-2227FA5A8902}"/>
            </c:ext>
          </c:extLst>
        </c:ser>
        <c:ser>
          <c:idx val="2"/>
          <c:order val="2"/>
          <c:tx>
            <c:strRef>
              <c:f>'By Sub 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'By Sub Category'!$A$6:$A$31</c:f>
              <c:strCache>
                <c:ptCount val="25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  <c:pt idx="24">
                  <c:v>(blank)</c:v>
                </c:pt>
              </c:strCache>
            </c:strRef>
          </c:cat>
          <c:val>
            <c:numRef>
              <c:f>'By Sub Category'!$D$6:$D$31</c:f>
              <c:numCache>
                <c:formatCode>General</c:formatCode>
                <c:ptCount val="25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4B-4675-B56A-2227FA5A8902}"/>
            </c:ext>
          </c:extLst>
        </c:ser>
        <c:ser>
          <c:idx val="3"/>
          <c:order val="3"/>
          <c:tx>
            <c:strRef>
              <c:f>'By Sub 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'By Sub Category'!$A$6:$A$31</c:f>
              <c:strCache>
                <c:ptCount val="25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  <c:pt idx="24">
                  <c:v>(blank)</c:v>
                </c:pt>
              </c:strCache>
            </c:strRef>
          </c:cat>
          <c:val>
            <c:numRef>
              <c:f>'By Sub Category'!$E$6:$E$31</c:f>
              <c:numCache>
                <c:formatCode>General</c:formatCode>
                <c:ptCount val="25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4B-4675-B56A-2227FA5A8902}"/>
            </c:ext>
          </c:extLst>
        </c:ser>
        <c:ser>
          <c:idx val="4"/>
          <c:order val="4"/>
          <c:tx>
            <c:strRef>
              <c:f>'By Sub Category'!$F$4:$F$5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'By Sub Category'!$A$6:$A$31</c:f>
              <c:strCache>
                <c:ptCount val="25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  <c:pt idx="24">
                  <c:v>(blank)</c:v>
                </c:pt>
              </c:strCache>
            </c:strRef>
          </c:cat>
          <c:val>
            <c:numRef>
              <c:f>'By Sub Category'!$F$6:$F$31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4-934B-4675-B56A-2227FA5A8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604207"/>
        <c:axId val="184248879"/>
      </c:barChart>
      <c:catAx>
        <c:axId val="12060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48879"/>
        <c:crosses val="autoZero"/>
        <c:auto val="1"/>
        <c:lblAlgn val="ctr"/>
        <c:lblOffset val="100"/>
        <c:noMultiLvlLbl val="0"/>
      </c:catAx>
      <c:valAx>
        <c:axId val="18424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04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by Kendall.xlsm]By Date Created!PivotTable3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'By Date Created'!$B$4:$B$5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'By Date Created'!$A$6:$A$18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'By Date Created'!$B$6:$B$18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8C-4BCE-8CEC-3147228E72C1}"/>
            </c:ext>
          </c:extLst>
        </c:ser>
        <c:ser>
          <c:idx val="1"/>
          <c:order val="1"/>
          <c:tx>
            <c:strRef>
              <c:f>'By Date Created'!$C$4:$C$5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'By Date Created'!$A$6:$A$18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'By Date Created'!$C$6:$C$18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8C-4BCE-8CEC-3147228E72C1}"/>
            </c:ext>
          </c:extLst>
        </c:ser>
        <c:ser>
          <c:idx val="2"/>
          <c:order val="2"/>
          <c:tx>
            <c:strRef>
              <c:f>'By Date Created'!$D$4:$D$5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'By Date Created'!$A$6:$A$18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'By Date Created'!$D$6:$D$18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8C-4BCE-8CEC-3147228E72C1}"/>
            </c:ext>
          </c:extLst>
        </c:ser>
        <c:ser>
          <c:idx val="3"/>
          <c:order val="3"/>
          <c:tx>
            <c:strRef>
              <c:f>'By Date Created'!$E$4:$E$5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'By Date Created'!$A$6:$A$18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'By Date Created'!$E$6:$E$18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8C-4BCE-8CEC-3147228E7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255791"/>
        <c:axId val="184249359"/>
      </c:lineChart>
      <c:catAx>
        <c:axId val="178255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49359"/>
        <c:crosses val="autoZero"/>
        <c:auto val="1"/>
        <c:lblAlgn val="ctr"/>
        <c:lblOffset val="100"/>
        <c:noMultiLvlLbl val="0"/>
      </c:catAx>
      <c:valAx>
        <c:axId val="184249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55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by Kendall.xlsm]Goals!PivotTable6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Goals!$B$15</c:f>
              <c:strCache>
                <c:ptCount val="1"/>
                <c:pt idx="0">
                  <c:v>Sum of Percentage 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Goals!$A$16:$A$28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than or equal to 50000</c:v>
                </c:pt>
                <c:pt idx="11">
                  <c:v>Less than 1000</c:v>
                </c:pt>
              </c:strCache>
            </c:strRef>
          </c:cat>
          <c:val>
            <c:numRef>
              <c:f>Goals!$B$16:$B$28</c:f>
              <c:numCache>
                <c:formatCode>General</c:formatCode>
                <c:ptCount val="12"/>
                <c:pt idx="0">
                  <c:v>0.82683982683982682</c:v>
                </c:pt>
                <c:pt idx="1">
                  <c:v>0.44444444444444442</c:v>
                </c:pt>
                <c:pt idx="2">
                  <c:v>1</c:v>
                </c:pt>
                <c:pt idx="3">
                  <c:v>1</c:v>
                </c:pt>
                <c:pt idx="4">
                  <c:v>0.7857142857142857</c:v>
                </c:pt>
                <c:pt idx="5">
                  <c:v>1</c:v>
                </c:pt>
                <c:pt idx="6">
                  <c:v>0.66666666666666663</c:v>
                </c:pt>
                <c:pt idx="7">
                  <c:v>0.7857142857142857</c:v>
                </c:pt>
                <c:pt idx="8">
                  <c:v>0.72727272727272729</c:v>
                </c:pt>
                <c:pt idx="9">
                  <c:v>0.52063492063492067</c:v>
                </c:pt>
                <c:pt idx="10">
                  <c:v>0.3737704918032787</c:v>
                </c:pt>
                <c:pt idx="11">
                  <c:v>0.58823529411764708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C48A-4845-9AF9-14D07714FB8E}"/>
            </c:ext>
          </c:extLst>
        </c:ser>
        <c:ser>
          <c:idx val="1"/>
          <c:order val="1"/>
          <c:tx>
            <c:strRef>
              <c:f>Goals!$C$15</c:f>
              <c:strCache>
                <c:ptCount val="1"/>
                <c:pt idx="0">
                  <c:v>Sum of Percaentage 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Goals!$A$16:$A$28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than or equal to 50000</c:v>
                </c:pt>
                <c:pt idx="11">
                  <c:v>Less than 1000</c:v>
                </c:pt>
              </c:strCache>
            </c:strRef>
          </c:cat>
          <c:val>
            <c:numRef>
              <c:f>Goals!$C$16:$C$28</c:f>
              <c:numCache>
                <c:formatCode>General</c:formatCode>
                <c:ptCount val="12"/>
                <c:pt idx="0">
                  <c:v>0.16450216450216451</c:v>
                </c:pt>
                <c:pt idx="1">
                  <c:v>0.55555555555555558</c:v>
                </c:pt>
                <c:pt idx="2">
                  <c:v>0</c:v>
                </c:pt>
                <c:pt idx="3">
                  <c:v>0</c:v>
                </c:pt>
                <c:pt idx="4">
                  <c:v>0.21428571428571427</c:v>
                </c:pt>
                <c:pt idx="5">
                  <c:v>0</c:v>
                </c:pt>
                <c:pt idx="6">
                  <c:v>0.25</c:v>
                </c:pt>
                <c:pt idx="7">
                  <c:v>0.21428571428571427</c:v>
                </c:pt>
                <c:pt idx="8">
                  <c:v>0.27272727272727271</c:v>
                </c:pt>
                <c:pt idx="9">
                  <c:v>0.4</c:v>
                </c:pt>
                <c:pt idx="10">
                  <c:v>0.53442622950819674</c:v>
                </c:pt>
                <c:pt idx="11">
                  <c:v>0.39215686274509803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C48A-4845-9AF9-14D07714FB8E}"/>
            </c:ext>
          </c:extLst>
        </c:ser>
        <c:ser>
          <c:idx val="2"/>
          <c:order val="2"/>
          <c:tx>
            <c:strRef>
              <c:f>Goals!$D$15</c:f>
              <c:strCache>
                <c:ptCount val="1"/>
                <c:pt idx="0">
                  <c:v>Sum of Percentage 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Goals!$A$16:$A$28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than or equal to 50000</c:v>
                </c:pt>
                <c:pt idx="11">
                  <c:v>Less than 1000</c:v>
                </c:pt>
              </c:strCache>
            </c:strRef>
          </c:cat>
          <c:val>
            <c:numRef>
              <c:f>Goals!$D$16:$D$28</c:f>
              <c:numCache>
                <c:formatCode>General</c:formatCode>
                <c:ptCount val="12"/>
                <c:pt idx="0">
                  <c:v>3.9215686274509803E-2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1.9607843137254902E-2</c:v>
                </c:pt>
                <c:pt idx="7">
                  <c:v>0</c:v>
                </c:pt>
                <c:pt idx="8">
                  <c:v>0</c:v>
                </c:pt>
                <c:pt idx="9">
                  <c:v>0.49019607843137253</c:v>
                </c:pt>
                <c:pt idx="10">
                  <c:v>0.5490196078431373</c:v>
                </c:pt>
                <c:pt idx="11">
                  <c:v>1.9607843137254902E-2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C48A-4845-9AF9-14D07714F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821887"/>
        <c:axId val="189508383"/>
      </c:barChart>
      <c:catAx>
        <c:axId val="19882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08383"/>
        <c:crosses val="autoZero"/>
        <c:auto val="1"/>
        <c:lblAlgn val="ctr"/>
        <c:lblOffset val="100"/>
        <c:noMultiLvlLbl val="0"/>
      </c:catAx>
      <c:valAx>
        <c:axId val="18950838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82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Number of Backers of Successful Campaigns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Number of Backers of Successful Campaigns</a:t>
          </a:r>
        </a:p>
      </cx:txPr>
    </cx:title>
    <cx:plotArea>
      <cx:plotAreaRegion>
        <cx:series layoutId="boxWhisker" uniqueId="{72BCD93A-5A66-4E43-B646-10B279E5E9B9}">
          <cx:tx>
            <cx:txData>
              <cx:f>_xlchart.v1.2</cx:f>
              <cx:v>Number of Backers of Successful Campaigns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Number of Backers of Failed Campaigns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Number of Backers of Failed Campaigns</a:t>
          </a:r>
        </a:p>
      </cx:txPr>
    </cx:title>
    <cx:plotArea>
      <cx:plotAreaRegion>
        <cx:series layoutId="boxWhisker" uniqueId="{9D781450-8BC0-4A1F-BBA8-C285F03941A5}">
          <cx:tx>
            <cx:txData>
              <cx:f>_xlchart.v1.0</cx:f>
              <cx:v>Number of Backers for Unsuccessful Campaigns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804862</xdr:colOff>
      <xdr:row>2</xdr:row>
      <xdr:rowOff>38099</xdr:rowOff>
    </xdr:from>
    <xdr:to>
      <xdr:col>14</xdr:col>
      <xdr:colOff>419100</xdr:colOff>
      <xdr:row>18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17F038-396F-F579-D2F0-C0F840734B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300037</xdr:colOff>
      <xdr:row>5</xdr:row>
      <xdr:rowOff>19050</xdr:rowOff>
    </xdr:from>
    <xdr:to>
      <xdr:col>15</xdr:col>
      <xdr:colOff>466725</xdr:colOff>
      <xdr:row>24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F1FCCC-931B-D378-BB7B-DC4429ACC8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385761</xdr:colOff>
      <xdr:row>1</xdr:row>
      <xdr:rowOff>133350</xdr:rowOff>
    </xdr:from>
    <xdr:to>
      <xdr:col>14</xdr:col>
      <xdr:colOff>390524</xdr:colOff>
      <xdr:row>19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60E7B4-5412-F6D2-B858-256123D4AC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13</xdr:row>
      <xdr:rowOff>123824</xdr:rowOff>
    </xdr:from>
    <xdr:to>
      <xdr:col>12</xdr:col>
      <xdr:colOff>423862</xdr:colOff>
      <xdr:row>30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01F58F-78EC-C708-4540-87C640D42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1014411</xdr:colOff>
      <xdr:row>13</xdr:row>
      <xdr:rowOff>0</xdr:rowOff>
    </xdr:from>
    <xdr:to>
      <xdr:col>8</xdr:col>
      <xdr:colOff>1409699</xdr:colOff>
      <xdr:row>26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67909702-4713-51AD-BDF7-1C53C1CD5C3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91236" y="3200400"/>
              <a:ext cx="4538663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2676525</xdr:colOff>
      <xdr:row>12</xdr:row>
      <xdr:rowOff>142875</xdr:rowOff>
    </xdr:from>
    <xdr:to>
      <xdr:col>10</xdr:col>
      <xdr:colOff>1095375</xdr:colOff>
      <xdr:row>26</xdr:row>
      <xdr:rowOff>85725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92764A84-E452-54C7-BA1C-68C9877E40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6725" y="3143250"/>
              <a:ext cx="46291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ndall Fong" refreshedDate="45145.779747916669" createdVersion="8" refreshedVersion="8" minRefreshableVersion="3" recordCount="1001" xr:uid="{161C52D2-3D88-44C2-A446-C7111BA9B3D1}">
  <cacheSource type="worksheet">
    <worksheetSource ref="A1:T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Percent Funded" numFmtId="0">
      <sharedItems containsString="0" containsBlank="1" containsNumber="1" minValue="0" maxValue="2338.833333333333"/>
    </cacheField>
    <cacheField name="launched_at" numFmtId="0">
      <sharedItems containsString="0" containsBlank="1" containsNumber="1" containsInteger="1" minValue="1263016800" maxValue="1580104800"/>
    </cacheField>
    <cacheField name="Average Donation" numFmtId="0">
      <sharedItems containsString="0" containsBlank="1" containsNumber="1" minValue="0" maxValue="113.17073170731707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ndall Fong" refreshedDate="45145.80771238426" createdVersion="8" refreshedVersion="8" minRefreshableVersion="3" recordCount="1000" xr:uid="{922F431A-6A57-4A62-9661-A3E7656686C2}">
  <cacheSource type="worksheet">
    <worksheetSource ref="A1:T1001" sheet="Crowdfunding"/>
  </cacheSource>
  <cacheFields count="23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/>
    </cacheField>
    <cacheField name="currency" numFmtId="0">
      <sharedItems/>
    </cacheField>
    <cacheField name="Percent Funded" numFmtId="9">
      <sharedItems containsSemiMixedTypes="0" containsString="0" containsNumber="1" minValue="0" maxValue="2338.833333333333"/>
    </cacheField>
    <cacheField name="launched_at" numFmtId="0">
      <sharedItems containsSemiMixedTypes="0" containsString="0" containsNumber="1" containsInteger="1" minValue="1263016800" maxValue="1580104800"/>
    </cacheField>
    <cacheField name="Average Donation" numFmtId="44">
      <sharedItems containsSemiMixedTypes="0" containsString="0" containsNumber="1" minValue="0" maxValue="113.17073170731707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2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44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44">
      <sharedItems/>
    </cacheField>
    <cacheField name="Months (Date Created Conversion)" numFmtId="0" databaseField="0">
      <fieldGroup base="13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 Created Conversion)" numFmtId="0" databaseField="0">
      <fieldGroup base="13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 Created Conversion)" numFmtId="0" databaseField="0">
      <fieldGroup base="13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ndall Fong" refreshedDate="45145.853553587964" createdVersion="8" refreshedVersion="8" minRefreshableVersion="3" recordCount="12" xr:uid="{660DB544-190E-4B71-B2C3-C12E8EA3D230}">
  <cacheSource type="worksheet">
    <worksheetSource ref="A1:H13" sheet="Goals"/>
  </cacheSource>
  <cacheFields count="8">
    <cacheField name="Goal" numFmtId="0">
      <sharedItems count="12">
        <s v="Less than 1000"/>
        <s v="1000 to 4999"/>
        <s v="5000 to 9999"/>
        <s v="10000 to 14999"/>
        <s v="15000 to 19999"/>
        <s v="20000 to 24999"/>
        <s v="25000 to 29999"/>
        <s v="30000 to 34999"/>
        <s v="35000 to 39999"/>
        <s v="40000 to 44999"/>
        <s v="45000 to 49999"/>
        <s v="Greater than or equal to 50000"/>
      </sharedItems>
    </cacheField>
    <cacheField name="Number Successful" numFmtId="0">
      <sharedItems containsSemiMixedTypes="0" containsString="0" containsNumber="1" containsInteger="1" minValue="4" maxValue="191" count="9">
        <n v="30"/>
        <n v="191"/>
        <n v="164"/>
        <n v="4"/>
        <n v="10"/>
        <n v="7"/>
        <n v="11"/>
        <n v="8"/>
        <n v="114"/>
      </sharedItems>
    </cacheField>
    <cacheField name="Number Failed " numFmtId="0">
      <sharedItems containsSemiMixedTypes="0" containsString="0" containsNumber="1" containsInteger="1" minValue="0" maxValue="163" count="7">
        <n v="20"/>
        <n v="38"/>
        <n v="126"/>
        <n v="5"/>
        <n v="0"/>
        <n v="3"/>
        <n v="163"/>
      </sharedItems>
    </cacheField>
    <cacheField name="Number Canceled" numFmtId="0">
      <sharedItems containsSemiMixedTypes="0" containsString="0" containsNumber="1" containsInteger="1" minValue="0" maxValue="28" count="5">
        <n v="1"/>
        <n v="2"/>
        <n v="25"/>
        <n v="0"/>
        <n v="28"/>
      </sharedItems>
    </cacheField>
    <cacheField name="Total Projects" numFmtId="0">
      <sharedItems containsSemiMixedTypes="0" containsString="0" containsNumber="1" containsInteger="1" minValue="7" maxValue="315"/>
    </cacheField>
    <cacheField name="Percentage Successful" numFmtId="9">
      <sharedItems containsSemiMixedTypes="0" containsString="0" containsNumber="1" minValue="0.3737704918032787" maxValue="1" count="9">
        <n v="0.58823529411764708"/>
        <n v="0.82683982683982682"/>
        <n v="0.52063492063492067"/>
        <n v="0.44444444444444442"/>
        <n v="1"/>
        <n v="0.7857142857142857"/>
        <n v="0.66666666666666663"/>
        <n v="0.72727272727272729"/>
        <n v="0.3737704918032787"/>
      </sharedItems>
    </cacheField>
    <cacheField name="Percaentage Failed" numFmtId="9">
      <sharedItems containsSemiMixedTypes="0" containsString="0" containsNumber="1" minValue="0" maxValue="0.55555555555555558" count="9">
        <n v="0.39215686274509803"/>
        <n v="0.16450216450216451"/>
        <n v="0.4"/>
        <n v="0.55555555555555558"/>
        <n v="0"/>
        <n v="0.21428571428571427"/>
        <n v="0.25"/>
        <n v="0.27272727272727271"/>
        <n v="0.53442622950819674"/>
      </sharedItems>
    </cacheField>
    <cacheField name="Percentage Canceled" numFmtId="9">
      <sharedItems containsSemiMixedTypes="0" containsString="0" containsNumber="1" minValue="0" maxValue="0.5490196078431373" count="5">
        <n v="1.9607843137254902E-2"/>
        <n v="3.9215686274509803E-2"/>
        <n v="0.49019607843137253"/>
        <n v="0"/>
        <n v="0.549019607843137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x v="0"/>
    <n v="0"/>
    <x v="0"/>
    <s v="CAD"/>
    <n v="0"/>
    <n v="1448690400"/>
    <n v="0"/>
    <n v="1450159200"/>
    <b v="0"/>
    <b v="0"/>
    <s v="food/food trucks"/>
    <x v="0"/>
    <x v="0"/>
  </r>
  <r>
    <n v="1"/>
    <s v="Odom Inc"/>
    <s v="Managed bottom-line architecture"/>
    <n v="1400"/>
    <n v="14560"/>
    <x v="1"/>
    <n v="158"/>
    <x v="1"/>
    <s v="USD"/>
    <n v="1040"/>
    <n v="1408424400"/>
    <n v="92.151898734177209"/>
    <n v="1408597200"/>
    <b v="0"/>
    <b v="1"/>
    <s v="music/rock"/>
    <x v="1"/>
    <x v="1"/>
  </r>
  <r>
    <n v="2"/>
    <s v="Melton, Robinson and Fritz"/>
    <s v="Function-based leadingedge pricing structure"/>
    <n v="108400"/>
    <n v="142523"/>
    <x v="1"/>
    <n v="1425"/>
    <x v="2"/>
    <s v="AUD"/>
    <n v="131.4787822878229"/>
    <n v="1384668000"/>
    <n v="100.01614035087719"/>
    <n v="1384840800"/>
    <b v="0"/>
    <b v="0"/>
    <s v="technology/web"/>
    <x v="2"/>
    <x v="2"/>
  </r>
  <r>
    <n v="3"/>
    <s v="Mcdonald, Gonzalez and Ross"/>
    <s v="Vision-oriented fresh-thinking conglomeration"/>
    <n v="4200"/>
    <n v="2477"/>
    <x v="0"/>
    <n v="24"/>
    <x v="1"/>
    <s v="USD"/>
    <n v="58.976190476190467"/>
    <n v="1565499600"/>
    <n v="103.20833333333333"/>
    <n v="1568955600"/>
    <b v="0"/>
    <b v="0"/>
    <s v="music/rock"/>
    <x v="1"/>
    <x v="1"/>
  </r>
  <r>
    <n v="4"/>
    <s v="Larson-Little"/>
    <s v="Proactive foreground core"/>
    <n v="7600"/>
    <n v="5265"/>
    <x v="0"/>
    <n v="53"/>
    <x v="1"/>
    <s v="USD"/>
    <n v="69.276315789473685"/>
    <n v="1547964000"/>
    <n v="0"/>
    <n v="1548309600"/>
    <b v="0"/>
    <b v="0"/>
    <s v="theater/plays"/>
    <x v="3"/>
    <x v="3"/>
  </r>
  <r>
    <n v="5"/>
    <s v="Harris Group"/>
    <s v="Open-source optimizing database"/>
    <n v="7600"/>
    <n v="13195"/>
    <x v="1"/>
    <n v="174"/>
    <x v="3"/>
    <s v="DKK"/>
    <n v="173.61842105263159"/>
    <n v="1346130000"/>
    <n v="75.833333333333329"/>
    <n v="1347080400"/>
    <b v="0"/>
    <b v="0"/>
    <s v="theater/plays"/>
    <x v="3"/>
    <x v="3"/>
  </r>
  <r>
    <n v="6"/>
    <s v="Ortiz, Coleman and Mitchell"/>
    <s v="Operative upward-trending algorithm"/>
    <n v="5200"/>
    <n v="1090"/>
    <x v="0"/>
    <n v="18"/>
    <x v="4"/>
    <s v="GBP"/>
    <n v="20.961538461538463"/>
    <n v="1505278800"/>
    <n v="60.555555555555557"/>
    <n v="1505365200"/>
    <b v="0"/>
    <b v="0"/>
    <s v="film &amp; video/documentary"/>
    <x v="4"/>
    <x v="4"/>
  </r>
  <r>
    <n v="7"/>
    <s v="Carter-Guzman"/>
    <s v="Centralized cohesive challenge"/>
    <n v="4500"/>
    <n v="14741"/>
    <x v="1"/>
    <n v="227"/>
    <x v="3"/>
    <s v="DKK"/>
    <n v="327.57777777777778"/>
    <n v="1439442000"/>
    <n v="64.93832599118943"/>
    <n v="1439614800"/>
    <b v="0"/>
    <b v="0"/>
    <s v="theater/plays"/>
    <x v="3"/>
    <x v="3"/>
  </r>
  <r>
    <n v="8"/>
    <s v="Nunez-Richards"/>
    <s v="Exclusive attitude-oriented intranet"/>
    <n v="110100"/>
    <n v="21946"/>
    <x v="2"/>
    <n v="708"/>
    <x v="3"/>
    <s v="DKK"/>
    <n v="19.932788374205266"/>
    <n v="1281330000"/>
    <n v="30.997175141242938"/>
    <n v="1281502800"/>
    <b v="0"/>
    <b v="0"/>
    <s v="theater/plays"/>
    <x v="3"/>
    <x v="3"/>
  </r>
  <r>
    <n v="9"/>
    <s v="Rangel, Holt and Jones"/>
    <s v="Open-source fresh-thinking model"/>
    <n v="6200"/>
    <n v="3208"/>
    <x v="0"/>
    <n v="44"/>
    <x v="1"/>
    <s v="USD"/>
    <n v="51.741935483870968"/>
    <n v="1379566800"/>
    <n v="72.909090909090907"/>
    <n v="1383804000"/>
    <b v="0"/>
    <b v="0"/>
    <s v="music/electric music"/>
    <x v="1"/>
    <x v="5"/>
  </r>
  <r>
    <n v="10"/>
    <s v="Green Ltd"/>
    <s v="Monitored empowering installation"/>
    <n v="5200"/>
    <n v="13838"/>
    <x v="1"/>
    <n v="220"/>
    <x v="1"/>
    <s v="USD"/>
    <n v="266.11538461538464"/>
    <n v="1281762000"/>
    <n v="62.9"/>
    <n v="1285909200"/>
    <b v="0"/>
    <b v="0"/>
    <s v="film &amp; video/drama"/>
    <x v="4"/>
    <x v="6"/>
  </r>
  <r>
    <n v="11"/>
    <s v="Perez, Johnson and Gardner"/>
    <s v="Grass-roots zero administration system engine"/>
    <n v="6300"/>
    <n v="3030"/>
    <x v="0"/>
    <n v="27"/>
    <x v="1"/>
    <s v="USD"/>
    <n v="48.095238095238095"/>
    <n v="1285045200"/>
    <n v="112.22222222222223"/>
    <n v="1285563600"/>
    <b v="0"/>
    <b v="1"/>
    <s v="theater/plays"/>
    <x v="3"/>
    <x v="3"/>
  </r>
  <r>
    <n v="12"/>
    <s v="Kim Ltd"/>
    <s v="Assimilated hybrid intranet"/>
    <n v="6300"/>
    <n v="5629"/>
    <x v="0"/>
    <n v="55"/>
    <x v="1"/>
    <s v="USD"/>
    <n v="89.349206349206341"/>
    <n v="1571720400"/>
    <n v="102.34545454545454"/>
    <n v="1572411600"/>
    <b v="0"/>
    <b v="0"/>
    <s v="film &amp; video/drama"/>
    <x v="4"/>
    <x v="6"/>
  </r>
  <r>
    <n v="13"/>
    <s v="Walker, Taylor and Coleman"/>
    <s v="Multi-tiered directional open architecture"/>
    <n v="4200"/>
    <n v="10295"/>
    <x v="1"/>
    <n v="98"/>
    <x v="1"/>
    <s v="USD"/>
    <n v="245.11904761904765"/>
    <n v="1465621200"/>
    <n v="105.05102040816327"/>
    <n v="1466658000"/>
    <b v="0"/>
    <b v="0"/>
    <s v="music/indie rock"/>
    <x v="1"/>
    <x v="7"/>
  </r>
  <r>
    <n v="14"/>
    <s v="Rodriguez, Rose and Stewart"/>
    <s v="Cloned directional synergy"/>
    <n v="28200"/>
    <n v="18829"/>
    <x v="0"/>
    <n v="200"/>
    <x v="1"/>
    <s v="USD"/>
    <n v="66.769503546099301"/>
    <n v="1331013600"/>
    <n v="94.144999999999996"/>
    <n v="1333342800"/>
    <b v="0"/>
    <b v="0"/>
    <s v="music/indie rock"/>
    <x v="1"/>
    <x v="7"/>
  </r>
  <r>
    <n v="15"/>
    <s v="Wright, Hunt and Rowe"/>
    <s v="Extended eco-centric pricing structure"/>
    <n v="81200"/>
    <n v="38414"/>
    <x v="0"/>
    <n v="452"/>
    <x v="1"/>
    <s v="USD"/>
    <n v="47.307881773399011"/>
    <n v="1575957600"/>
    <n v="84.986725663716811"/>
    <n v="1576303200"/>
    <b v="0"/>
    <b v="0"/>
    <s v="technology/wearables"/>
    <x v="2"/>
    <x v="8"/>
  </r>
  <r>
    <n v="16"/>
    <s v="Hines Inc"/>
    <s v="Cross-platform systemic adapter"/>
    <n v="1700"/>
    <n v="11041"/>
    <x v="1"/>
    <n v="100"/>
    <x v="1"/>
    <s v="USD"/>
    <n v="649.47058823529414"/>
    <n v="1390370400"/>
    <n v="110.41"/>
    <n v="1392271200"/>
    <b v="0"/>
    <b v="0"/>
    <s v="publishing/nonfiction"/>
    <x v="5"/>
    <x v="9"/>
  </r>
  <r>
    <n v="17"/>
    <s v="Cochran-Nguyen"/>
    <s v="Seamless 4thgeneration methodology"/>
    <n v="84600"/>
    <n v="134845"/>
    <x v="1"/>
    <n v="1249"/>
    <x v="1"/>
    <s v="USD"/>
    <n v="159.39125295508273"/>
    <n v="1294812000"/>
    <n v="107.96236989591674"/>
    <n v="1294898400"/>
    <b v="0"/>
    <b v="0"/>
    <s v="film &amp; video/animation"/>
    <x v="4"/>
    <x v="10"/>
  </r>
  <r>
    <n v="18"/>
    <s v="Johnson-Gould"/>
    <s v="Exclusive needs-based adapter"/>
    <n v="9100"/>
    <n v="6089"/>
    <x v="3"/>
    <n v="135"/>
    <x v="1"/>
    <s v="USD"/>
    <n v="66.912087912087912"/>
    <n v="1536382800"/>
    <n v="45.103703703703701"/>
    <n v="1537074000"/>
    <b v="0"/>
    <b v="0"/>
    <s v="theater/plays"/>
    <x v="3"/>
    <x v="3"/>
  </r>
  <r>
    <n v="19"/>
    <s v="Perez-Hess"/>
    <s v="Down-sized cohesive archive"/>
    <n v="62500"/>
    <n v="30331"/>
    <x v="0"/>
    <n v="674"/>
    <x v="1"/>
    <s v="USD"/>
    <n v="48.529600000000002"/>
    <n v="1551679200"/>
    <n v="45.001483679525222"/>
    <n v="1553490000"/>
    <b v="0"/>
    <b v="1"/>
    <s v="theater/plays"/>
    <x v="3"/>
    <x v="3"/>
  </r>
  <r>
    <n v="20"/>
    <s v="Reeves, Thompson and Richardson"/>
    <s v="Proactive composite alliance"/>
    <n v="131800"/>
    <n v="147936"/>
    <x v="1"/>
    <n v="1396"/>
    <x v="1"/>
    <s v="USD"/>
    <n v="112.24279210925646"/>
    <n v="1406523600"/>
    <n v="105.97134670487107"/>
    <n v="1406523600"/>
    <b v="0"/>
    <b v="0"/>
    <s v="film &amp; video/drama"/>
    <x v="4"/>
    <x v="6"/>
  </r>
  <r>
    <n v="21"/>
    <s v="Simmons-Reynolds"/>
    <s v="Re-engineered intangible definition"/>
    <n v="94000"/>
    <n v="38533"/>
    <x v="0"/>
    <n v="558"/>
    <x v="1"/>
    <s v="USD"/>
    <n v="40.992553191489364"/>
    <n v="1313384400"/>
    <n v="69.055555555555557"/>
    <n v="1316322000"/>
    <b v="0"/>
    <b v="0"/>
    <s v="theater/plays"/>
    <x v="3"/>
    <x v="3"/>
  </r>
  <r>
    <n v="22"/>
    <s v="Collier Inc"/>
    <s v="Enhanced dynamic definition"/>
    <n v="59100"/>
    <n v="75690"/>
    <x v="1"/>
    <n v="890"/>
    <x v="1"/>
    <s v="USD"/>
    <n v="128.07106598984771"/>
    <n v="1522731600"/>
    <n v="85.044943820224717"/>
    <n v="1524027600"/>
    <b v="0"/>
    <b v="0"/>
    <s v="theater/plays"/>
    <x v="3"/>
    <x v="3"/>
  </r>
  <r>
    <n v="23"/>
    <s v="Gray-Jenkins"/>
    <s v="Devolved next generation adapter"/>
    <n v="4500"/>
    <n v="14942"/>
    <x v="1"/>
    <n v="142"/>
    <x v="4"/>
    <s v="GBP"/>
    <n v="332.04444444444448"/>
    <n v="1550124000"/>
    <n v="105.22535211267606"/>
    <n v="1554699600"/>
    <b v="0"/>
    <b v="0"/>
    <s v="film &amp; video/documentary"/>
    <x v="4"/>
    <x v="4"/>
  </r>
  <r>
    <n v="24"/>
    <s v="Scott, Wilson and Martin"/>
    <s v="Cross-platform intermediate frame"/>
    <n v="92400"/>
    <n v="104257"/>
    <x v="1"/>
    <n v="2673"/>
    <x v="1"/>
    <s v="USD"/>
    <n v="112.83225108225108"/>
    <n v="1403326800"/>
    <n v="39.003741114852225"/>
    <n v="1403499600"/>
    <b v="0"/>
    <b v="0"/>
    <s v="technology/wearables"/>
    <x v="2"/>
    <x v="8"/>
  </r>
  <r>
    <n v="25"/>
    <s v="Caldwell, Velazquez and Wilson"/>
    <s v="Monitored impactful analyzer"/>
    <n v="5500"/>
    <n v="11904"/>
    <x v="1"/>
    <n v="163"/>
    <x v="1"/>
    <s v="USD"/>
    <n v="216.43636363636364"/>
    <n v="1305694800"/>
    <n v="73.030674846625772"/>
    <n v="1307422800"/>
    <b v="0"/>
    <b v="1"/>
    <s v="games/video games"/>
    <x v="6"/>
    <x v="11"/>
  </r>
  <r>
    <n v="26"/>
    <s v="Spencer-Bates"/>
    <s v="Optional responsive customer loyalty"/>
    <n v="107500"/>
    <n v="51814"/>
    <x v="3"/>
    <n v="1480"/>
    <x v="1"/>
    <s v="USD"/>
    <n v="48.199069767441863"/>
    <n v="1533013200"/>
    <n v="35.009459459459457"/>
    <n v="1535346000"/>
    <b v="0"/>
    <b v="0"/>
    <s v="theater/plays"/>
    <x v="3"/>
    <x v="3"/>
  </r>
  <r>
    <n v="27"/>
    <s v="Best, Carr and Williams"/>
    <s v="Diverse transitional migration"/>
    <n v="2000"/>
    <n v="1599"/>
    <x v="0"/>
    <n v="15"/>
    <x v="1"/>
    <s v="USD"/>
    <n v="79.95"/>
    <n v="1443848400"/>
    <n v="106.6"/>
    <n v="1444539600"/>
    <b v="0"/>
    <b v="0"/>
    <s v="music/rock"/>
    <x v="1"/>
    <x v="1"/>
  </r>
  <r>
    <n v="28"/>
    <s v="Campbell, Brown and Powell"/>
    <s v="Synchronized global task-force"/>
    <n v="130800"/>
    <n v="137635"/>
    <x v="1"/>
    <n v="2220"/>
    <x v="1"/>
    <s v="USD"/>
    <n v="105.22553516819573"/>
    <n v="1265695200"/>
    <n v="61.997747747747745"/>
    <n v="1267682400"/>
    <b v="0"/>
    <b v="1"/>
    <s v="theater/plays"/>
    <x v="3"/>
    <x v="3"/>
  </r>
  <r>
    <n v="29"/>
    <s v="Johnson, Parker and Haynes"/>
    <s v="Focused 6thgeneration forecast"/>
    <n v="45900"/>
    <n v="150965"/>
    <x v="1"/>
    <n v="1606"/>
    <x v="5"/>
    <s v="CHF"/>
    <n v="328.89978213507629"/>
    <n v="1532062800"/>
    <n v="94.000622665006233"/>
    <n v="1535518800"/>
    <b v="0"/>
    <b v="0"/>
    <s v="film &amp; video/shorts"/>
    <x v="4"/>
    <x v="12"/>
  </r>
  <r>
    <n v="30"/>
    <s v="Clark-Cooke"/>
    <s v="Down-sized analyzing challenge"/>
    <n v="9000"/>
    <n v="14455"/>
    <x v="1"/>
    <n v="129"/>
    <x v="1"/>
    <s v="USD"/>
    <n v="160.61111111111111"/>
    <n v="1558674000"/>
    <n v="112.05426356589147"/>
    <n v="1559106000"/>
    <b v="0"/>
    <b v="0"/>
    <s v="film &amp; video/animation"/>
    <x v="4"/>
    <x v="10"/>
  </r>
  <r>
    <n v="31"/>
    <s v="Schroeder Ltd"/>
    <s v="Progressive needs-based focus group"/>
    <n v="3500"/>
    <n v="10850"/>
    <x v="1"/>
    <n v="226"/>
    <x v="4"/>
    <s v="GBP"/>
    <n v="310"/>
    <n v="1451973600"/>
    <n v="48.008849557522126"/>
    <n v="1454392800"/>
    <b v="0"/>
    <b v="0"/>
    <s v="games/video games"/>
    <x v="6"/>
    <x v="11"/>
  </r>
  <r>
    <n v="32"/>
    <s v="Jackson PLC"/>
    <s v="Ergonomic 6thgeneration success"/>
    <n v="101000"/>
    <n v="87676"/>
    <x v="0"/>
    <n v="2307"/>
    <x v="6"/>
    <s v="EUR"/>
    <n v="86.807920792079202"/>
    <n v="1515564000"/>
    <n v="38.004334633723452"/>
    <n v="1517896800"/>
    <b v="0"/>
    <b v="0"/>
    <s v="film &amp; video/documentary"/>
    <x v="4"/>
    <x v="4"/>
  </r>
  <r>
    <n v="33"/>
    <s v="Blair, Collins and Carter"/>
    <s v="Exclusive interactive approach"/>
    <n v="50200"/>
    <n v="189666"/>
    <x v="1"/>
    <n v="5419"/>
    <x v="1"/>
    <s v="USD"/>
    <n v="377.82071713147411"/>
    <n v="1412485200"/>
    <n v="35.000184535892231"/>
    <n v="1415685600"/>
    <b v="0"/>
    <b v="0"/>
    <s v="theater/plays"/>
    <x v="3"/>
    <x v="3"/>
  </r>
  <r>
    <n v="34"/>
    <s v="Maldonado and Sons"/>
    <s v="Reverse-engineered asynchronous archive"/>
    <n v="9300"/>
    <n v="14025"/>
    <x v="1"/>
    <n v="165"/>
    <x v="1"/>
    <s v="USD"/>
    <n v="150.80645161290323"/>
    <n v="1490245200"/>
    <n v="85"/>
    <n v="1490677200"/>
    <b v="0"/>
    <b v="0"/>
    <s v="film &amp; video/documentary"/>
    <x v="4"/>
    <x v="4"/>
  </r>
  <r>
    <n v="35"/>
    <s v="Mitchell and Sons"/>
    <s v="Synergized intangible challenge"/>
    <n v="125500"/>
    <n v="188628"/>
    <x v="1"/>
    <n v="1965"/>
    <x v="3"/>
    <s v="DKK"/>
    <n v="150.30119521912351"/>
    <n v="1547877600"/>
    <n v="95.993893129770996"/>
    <n v="1551506400"/>
    <b v="0"/>
    <b v="1"/>
    <s v="film &amp; video/drama"/>
    <x v="4"/>
    <x v="6"/>
  </r>
  <r>
    <n v="36"/>
    <s v="Jackson-Lewis"/>
    <s v="Monitored multi-state encryption"/>
    <n v="700"/>
    <n v="1101"/>
    <x v="1"/>
    <n v="16"/>
    <x v="1"/>
    <s v="USD"/>
    <n v="157.28571428571431"/>
    <n v="1298700000"/>
    <n v="68.8125"/>
    <n v="1300856400"/>
    <b v="0"/>
    <b v="0"/>
    <s v="theater/plays"/>
    <x v="3"/>
    <x v="3"/>
  </r>
  <r>
    <n v="37"/>
    <s v="Black, Armstrong and Anderson"/>
    <s v="Profound attitude-oriented functionalities"/>
    <n v="8100"/>
    <n v="11339"/>
    <x v="1"/>
    <n v="107"/>
    <x v="1"/>
    <s v="USD"/>
    <n v="139.98765432098764"/>
    <n v="1570338000"/>
    <n v="105.97196261682242"/>
    <n v="1573192800"/>
    <b v="0"/>
    <b v="1"/>
    <s v="publishing/fiction"/>
    <x v="5"/>
    <x v="13"/>
  </r>
  <r>
    <n v="38"/>
    <s v="Maldonado-Gonzalez"/>
    <s v="Digitized client-driven database"/>
    <n v="3100"/>
    <n v="10085"/>
    <x v="1"/>
    <n v="134"/>
    <x v="1"/>
    <s v="USD"/>
    <n v="325.32258064516128"/>
    <n v="1287378000"/>
    <n v="75.261194029850742"/>
    <n v="1287810000"/>
    <b v="0"/>
    <b v="0"/>
    <s v="photography/photography books"/>
    <x v="7"/>
    <x v="14"/>
  </r>
  <r>
    <n v="39"/>
    <s v="Kim-Rice"/>
    <s v="Organized bi-directional function"/>
    <n v="9900"/>
    <n v="5027"/>
    <x v="0"/>
    <n v="88"/>
    <x v="3"/>
    <s v="DKK"/>
    <n v="50.777777777777779"/>
    <n v="1361772000"/>
    <n v="57.125"/>
    <n v="1362978000"/>
    <b v="0"/>
    <b v="0"/>
    <s v="theater/plays"/>
    <x v="3"/>
    <x v="3"/>
  </r>
  <r>
    <n v="40"/>
    <s v="Garcia, Garcia and Lopez"/>
    <s v="Reduced stable middleware"/>
    <n v="8800"/>
    <n v="14878"/>
    <x v="1"/>
    <n v="198"/>
    <x v="1"/>
    <s v="USD"/>
    <n v="169.06818181818181"/>
    <n v="1275714000"/>
    <n v="75.141414141414145"/>
    <n v="1277355600"/>
    <b v="0"/>
    <b v="1"/>
    <s v="technology/wearables"/>
    <x v="2"/>
    <x v="8"/>
  </r>
  <r>
    <n v="41"/>
    <s v="Watts Group"/>
    <s v="Universal 5thgeneration neural-net"/>
    <n v="5600"/>
    <n v="11924"/>
    <x v="1"/>
    <n v="111"/>
    <x v="6"/>
    <s v="EUR"/>
    <n v="212.92857142857144"/>
    <n v="1346734800"/>
    <n v="107.42342342342343"/>
    <n v="1348981200"/>
    <b v="0"/>
    <b v="1"/>
    <s v="music/rock"/>
    <x v="1"/>
    <x v="1"/>
  </r>
  <r>
    <n v="42"/>
    <s v="Werner-Bryant"/>
    <s v="Virtual uniform frame"/>
    <n v="1800"/>
    <n v="7991"/>
    <x v="1"/>
    <n v="222"/>
    <x v="1"/>
    <s v="USD"/>
    <n v="443.94444444444446"/>
    <n v="1309755600"/>
    <n v="35.995495495495497"/>
    <n v="1310533200"/>
    <b v="0"/>
    <b v="0"/>
    <s v="food/food trucks"/>
    <x v="0"/>
    <x v="0"/>
  </r>
  <r>
    <n v="43"/>
    <s v="Schmitt-Mendoza"/>
    <s v="Profound explicit paradigm"/>
    <n v="90200"/>
    <n v="167717"/>
    <x v="1"/>
    <n v="6212"/>
    <x v="1"/>
    <s v="USD"/>
    <n v="185.9390243902439"/>
    <n v="1406178000"/>
    <n v="26.998873148744366"/>
    <n v="1407560400"/>
    <b v="0"/>
    <b v="0"/>
    <s v="publishing/radio &amp; podcasts"/>
    <x v="5"/>
    <x v="15"/>
  </r>
  <r>
    <n v="44"/>
    <s v="Reid-Mccullough"/>
    <s v="Visionary real-time groupware"/>
    <n v="1600"/>
    <n v="10541"/>
    <x v="1"/>
    <n v="98"/>
    <x v="3"/>
    <s v="DKK"/>
    <n v="658.8125"/>
    <n v="1552798800"/>
    <n v="107.56122448979592"/>
    <n v="1552885200"/>
    <b v="0"/>
    <b v="0"/>
    <s v="publishing/fiction"/>
    <x v="5"/>
    <x v="13"/>
  </r>
  <r>
    <n v="45"/>
    <s v="Woods-Clark"/>
    <s v="Networked tertiary Graphical User Interface"/>
    <n v="9500"/>
    <n v="4530"/>
    <x v="0"/>
    <n v="48"/>
    <x v="1"/>
    <s v="USD"/>
    <n v="47.684210526315788"/>
    <n v="1478062800"/>
    <n v="94.375"/>
    <n v="1479362400"/>
    <b v="0"/>
    <b v="1"/>
    <s v="theater/plays"/>
    <x v="3"/>
    <x v="3"/>
  </r>
  <r>
    <n v="46"/>
    <s v="Vaughn, Hunt and Caldwell"/>
    <s v="Virtual grid-enabled task-force"/>
    <n v="3700"/>
    <n v="4247"/>
    <x v="1"/>
    <n v="92"/>
    <x v="1"/>
    <s v="USD"/>
    <n v="114.78378378378378"/>
    <n v="1278565200"/>
    <n v="46.163043478260867"/>
    <n v="1280552400"/>
    <b v="0"/>
    <b v="0"/>
    <s v="music/rock"/>
    <x v="1"/>
    <x v="1"/>
  </r>
  <r>
    <n v="47"/>
    <s v="Bennett and Sons"/>
    <s v="Function-based multi-state software"/>
    <n v="1500"/>
    <n v="7129"/>
    <x v="1"/>
    <n v="149"/>
    <x v="1"/>
    <s v="USD"/>
    <n v="475.26666666666665"/>
    <n v="1396069200"/>
    <n v="47.845637583892618"/>
    <n v="1398661200"/>
    <b v="0"/>
    <b v="0"/>
    <s v="theater/plays"/>
    <x v="3"/>
    <x v="3"/>
  </r>
  <r>
    <n v="48"/>
    <s v="Lamb Inc"/>
    <s v="Optimized leadingedge concept"/>
    <n v="33300"/>
    <n v="128862"/>
    <x v="1"/>
    <n v="2431"/>
    <x v="1"/>
    <s v="USD"/>
    <n v="386.97297297297297"/>
    <n v="1435208400"/>
    <n v="53.007815713698065"/>
    <n v="1436245200"/>
    <b v="0"/>
    <b v="0"/>
    <s v="theater/plays"/>
    <x v="3"/>
    <x v="3"/>
  </r>
  <r>
    <n v="49"/>
    <s v="Casey-Kelly"/>
    <s v="Sharable holistic interface"/>
    <n v="7200"/>
    <n v="13653"/>
    <x v="1"/>
    <n v="303"/>
    <x v="1"/>
    <s v="USD"/>
    <n v="189.625"/>
    <n v="1571547600"/>
    <n v="45.059405940594061"/>
    <n v="1575439200"/>
    <b v="0"/>
    <b v="0"/>
    <s v="music/rock"/>
    <x v="1"/>
    <x v="1"/>
  </r>
  <r>
    <n v="50"/>
    <s v="Jones, Taylor and Moore"/>
    <s v="Down-sized system-worthy secured line"/>
    <n v="100"/>
    <n v="2"/>
    <x v="0"/>
    <n v="1"/>
    <x v="6"/>
    <s v="EUR"/>
    <n v="2"/>
    <n v="1375333200"/>
    <n v="2"/>
    <n v="1377752400"/>
    <b v="0"/>
    <b v="0"/>
    <s v="music/metal"/>
    <x v="1"/>
    <x v="16"/>
  </r>
  <r>
    <n v="51"/>
    <s v="Bradshaw, Gill and Donovan"/>
    <s v="Inverse secondary infrastructure"/>
    <n v="158100"/>
    <n v="145243"/>
    <x v="0"/>
    <n v="1467"/>
    <x v="4"/>
    <s v="GBP"/>
    <n v="91.867805186590772"/>
    <n v="1332824400"/>
    <n v="99.006816632583508"/>
    <n v="1334206800"/>
    <b v="0"/>
    <b v="1"/>
    <s v="technology/wearables"/>
    <x v="2"/>
    <x v="8"/>
  </r>
  <r>
    <n v="52"/>
    <s v="Hernandez, Rodriguez and Clark"/>
    <s v="Organic foreground leverage"/>
    <n v="7200"/>
    <n v="2459"/>
    <x v="0"/>
    <n v="75"/>
    <x v="1"/>
    <s v="USD"/>
    <n v="34.152777777777779"/>
    <n v="1284526800"/>
    <n v="32.786666666666669"/>
    <n v="1284872400"/>
    <b v="0"/>
    <b v="0"/>
    <s v="theater/plays"/>
    <x v="3"/>
    <x v="3"/>
  </r>
  <r>
    <n v="53"/>
    <s v="Smith-Jones"/>
    <s v="Reverse-engineered static concept"/>
    <n v="8800"/>
    <n v="12356"/>
    <x v="1"/>
    <n v="209"/>
    <x v="1"/>
    <s v="USD"/>
    <n v="140.40909090909091"/>
    <n v="1400562000"/>
    <n v="59.119617224880386"/>
    <n v="1403931600"/>
    <b v="0"/>
    <b v="0"/>
    <s v="film &amp; video/drama"/>
    <x v="4"/>
    <x v="6"/>
  </r>
  <r>
    <n v="54"/>
    <s v="Roy PLC"/>
    <s v="Multi-channeled neutral customer loyalty"/>
    <n v="6000"/>
    <n v="5392"/>
    <x v="0"/>
    <n v="120"/>
    <x v="1"/>
    <s v="USD"/>
    <n v="89.86666666666666"/>
    <n v="1520748000"/>
    <n v="44.93333333333333"/>
    <n v="1521262800"/>
    <b v="0"/>
    <b v="0"/>
    <s v="technology/wearables"/>
    <x v="2"/>
    <x v="8"/>
  </r>
  <r>
    <n v="55"/>
    <s v="Wright, Brooks and Villarreal"/>
    <s v="Reverse-engineered bifurcated strategy"/>
    <n v="6600"/>
    <n v="11746"/>
    <x v="1"/>
    <n v="131"/>
    <x v="1"/>
    <s v="USD"/>
    <n v="177.96969696969697"/>
    <n v="1532926800"/>
    <n v="89.664122137404576"/>
    <n v="1533358800"/>
    <b v="0"/>
    <b v="0"/>
    <s v="music/jazz"/>
    <x v="1"/>
    <x v="17"/>
  </r>
  <r>
    <n v="56"/>
    <s v="Flores, Miller and Johnson"/>
    <s v="Horizontal context-sensitive knowledge user"/>
    <n v="8000"/>
    <n v="11493"/>
    <x v="1"/>
    <n v="164"/>
    <x v="1"/>
    <s v="USD"/>
    <n v="143.66249999999999"/>
    <n v="1420869600"/>
    <n v="70.079268292682926"/>
    <n v="1421474400"/>
    <b v="0"/>
    <b v="0"/>
    <s v="technology/wearables"/>
    <x v="2"/>
    <x v="8"/>
  </r>
  <r>
    <n v="57"/>
    <s v="Bridges, Freeman and Kim"/>
    <s v="Cross-group multi-state task-force"/>
    <n v="2900"/>
    <n v="6243"/>
    <x v="1"/>
    <n v="201"/>
    <x v="1"/>
    <s v="USD"/>
    <n v="215.27586206896552"/>
    <n v="1504242000"/>
    <n v="31.059701492537314"/>
    <n v="1505278800"/>
    <b v="0"/>
    <b v="0"/>
    <s v="games/video games"/>
    <x v="6"/>
    <x v="11"/>
  </r>
  <r>
    <n v="58"/>
    <s v="Anderson-Perez"/>
    <s v="Expanded 3rdgeneration strategy"/>
    <n v="2700"/>
    <n v="6132"/>
    <x v="1"/>
    <n v="211"/>
    <x v="1"/>
    <s v="USD"/>
    <n v="227.11111111111114"/>
    <n v="1442811600"/>
    <n v="29.061611374407583"/>
    <n v="1443934800"/>
    <b v="0"/>
    <b v="0"/>
    <s v="theater/plays"/>
    <x v="3"/>
    <x v="3"/>
  </r>
  <r>
    <n v="59"/>
    <s v="Wright, Fox and Marks"/>
    <s v="Assimilated real-time support"/>
    <n v="1400"/>
    <n v="3851"/>
    <x v="1"/>
    <n v="128"/>
    <x v="1"/>
    <s v="USD"/>
    <n v="275.07142857142861"/>
    <n v="1497243600"/>
    <n v="30.0859375"/>
    <n v="1498539600"/>
    <b v="0"/>
    <b v="1"/>
    <s v="theater/plays"/>
    <x v="3"/>
    <x v="3"/>
  </r>
  <r>
    <n v="60"/>
    <s v="Crawford-Peters"/>
    <s v="User-centric regional database"/>
    <n v="94200"/>
    <n v="135997"/>
    <x v="1"/>
    <n v="1600"/>
    <x v="0"/>
    <s v="CAD"/>
    <n v="144.37048832271762"/>
    <n v="1342501200"/>
    <n v="84.998125000000002"/>
    <n v="1342760400"/>
    <b v="0"/>
    <b v="0"/>
    <s v="theater/plays"/>
    <x v="3"/>
    <x v="3"/>
  </r>
  <r>
    <n v="61"/>
    <s v="Romero-Hoffman"/>
    <s v="Open-source zero administration complexity"/>
    <n v="199200"/>
    <n v="184750"/>
    <x v="0"/>
    <n v="2253"/>
    <x v="0"/>
    <s v="CAD"/>
    <n v="92.74598393574297"/>
    <n v="1298268000"/>
    <n v="82.001775410563695"/>
    <n v="1301720400"/>
    <b v="0"/>
    <b v="0"/>
    <s v="theater/plays"/>
    <x v="3"/>
    <x v="3"/>
  </r>
  <r>
    <n v="62"/>
    <s v="Sparks-West"/>
    <s v="Organized incremental standardization"/>
    <n v="2000"/>
    <n v="14452"/>
    <x v="1"/>
    <n v="249"/>
    <x v="1"/>
    <s v="USD"/>
    <n v="722.6"/>
    <n v="1433480400"/>
    <n v="58.040160642570278"/>
    <n v="1433566800"/>
    <b v="0"/>
    <b v="0"/>
    <s v="technology/web"/>
    <x v="2"/>
    <x v="2"/>
  </r>
  <r>
    <n v="63"/>
    <s v="Baker, Morgan and Brown"/>
    <s v="Assimilated didactic open system"/>
    <n v="4700"/>
    <n v="557"/>
    <x v="0"/>
    <n v="5"/>
    <x v="1"/>
    <s v="USD"/>
    <n v="11.851063829787234"/>
    <n v="1493355600"/>
    <n v="111.4"/>
    <n v="1493874000"/>
    <b v="0"/>
    <b v="0"/>
    <s v="theater/plays"/>
    <x v="3"/>
    <x v="3"/>
  </r>
  <r>
    <n v="64"/>
    <s v="Mosley-Gilbert"/>
    <s v="Vision-oriented logistical intranet"/>
    <n v="2800"/>
    <n v="2734"/>
    <x v="0"/>
    <n v="38"/>
    <x v="1"/>
    <s v="USD"/>
    <n v="97.642857142857139"/>
    <n v="1530507600"/>
    <n v="71.94736842105263"/>
    <n v="1531803600"/>
    <b v="0"/>
    <b v="1"/>
    <s v="technology/web"/>
    <x v="2"/>
    <x v="2"/>
  </r>
  <r>
    <n v="65"/>
    <s v="Berry-Boyer"/>
    <s v="Mandatory incremental projection"/>
    <n v="6100"/>
    <n v="14405"/>
    <x v="1"/>
    <n v="236"/>
    <x v="1"/>
    <s v="USD"/>
    <n v="236.14754098360655"/>
    <n v="1296108000"/>
    <n v="61.038135593220339"/>
    <n v="1296712800"/>
    <b v="0"/>
    <b v="0"/>
    <s v="theater/plays"/>
    <x v="3"/>
    <x v="3"/>
  </r>
  <r>
    <n v="66"/>
    <s v="Sanders-Allen"/>
    <s v="Grass-roots needs-based encryption"/>
    <n v="2900"/>
    <n v="1307"/>
    <x v="0"/>
    <n v="12"/>
    <x v="1"/>
    <s v="USD"/>
    <n v="45.068965517241381"/>
    <n v="1428469200"/>
    <n v="108.91666666666667"/>
    <n v="1428901200"/>
    <b v="0"/>
    <b v="1"/>
    <s v="theater/plays"/>
    <x v="3"/>
    <x v="3"/>
  </r>
  <r>
    <n v="67"/>
    <s v="Lopez Inc"/>
    <s v="Team-oriented 6thgeneration middleware"/>
    <n v="72600"/>
    <n v="117892"/>
    <x v="1"/>
    <n v="4065"/>
    <x v="4"/>
    <s v="GBP"/>
    <n v="162.38567493112947"/>
    <n v="1264399200"/>
    <n v="29.001722017220171"/>
    <n v="1264831200"/>
    <b v="0"/>
    <b v="1"/>
    <s v="technology/wearables"/>
    <x v="2"/>
    <x v="8"/>
  </r>
  <r>
    <n v="68"/>
    <s v="Moreno-Turner"/>
    <s v="Inverse multi-tasking installation"/>
    <n v="5700"/>
    <n v="14508"/>
    <x v="1"/>
    <n v="246"/>
    <x v="6"/>
    <s v="EUR"/>
    <n v="254.52631578947367"/>
    <n v="1501131600"/>
    <n v="58.975609756097562"/>
    <n v="1505192400"/>
    <b v="0"/>
    <b v="1"/>
    <s v="theater/plays"/>
    <x v="3"/>
    <x v="3"/>
  </r>
  <r>
    <n v="69"/>
    <s v="Jones-Watson"/>
    <s v="Switchable disintermediate moderator"/>
    <n v="7900"/>
    <n v="1901"/>
    <x v="3"/>
    <n v="17"/>
    <x v="1"/>
    <s v="USD"/>
    <n v="24.063291139240505"/>
    <n v="1292738400"/>
    <n v="111.82352941176471"/>
    <n v="1295676000"/>
    <b v="0"/>
    <b v="0"/>
    <s v="theater/plays"/>
    <x v="3"/>
    <x v="3"/>
  </r>
  <r>
    <n v="70"/>
    <s v="Barker Inc"/>
    <s v="Re-engineered 24/7 task-force"/>
    <n v="128000"/>
    <n v="158389"/>
    <x v="1"/>
    <n v="2475"/>
    <x v="6"/>
    <s v="EUR"/>
    <n v="123.74140625000001"/>
    <n v="1288674000"/>
    <n v="63.995555555555555"/>
    <n v="1292911200"/>
    <b v="0"/>
    <b v="1"/>
    <s v="theater/plays"/>
    <x v="3"/>
    <x v="3"/>
  </r>
  <r>
    <n v="71"/>
    <s v="Tate, Bass and House"/>
    <s v="Organic object-oriented budgetary management"/>
    <n v="6000"/>
    <n v="6484"/>
    <x v="1"/>
    <n v="76"/>
    <x v="1"/>
    <s v="USD"/>
    <n v="108.06666666666666"/>
    <n v="1575093600"/>
    <n v="85.315789473684205"/>
    <n v="1575439200"/>
    <b v="0"/>
    <b v="0"/>
    <s v="theater/plays"/>
    <x v="3"/>
    <x v="3"/>
  </r>
  <r>
    <n v="72"/>
    <s v="Hampton, Lewis and Ray"/>
    <s v="Seamless coherent parallelism"/>
    <n v="600"/>
    <n v="4022"/>
    <x v="1"/>
    <n v="54"/>
    <x v="1"/>
    <s v="USD"/>
    <n v="670.33333333333326"/>
    <n v="1435726800"/>
    <n v="74.481481481481481"/>
    <n v="1438837200"/>
    <b v="0"/>
    <b v="0"/>
    <s v="film &amp; video/animation"/>
    <x v="4"/>
    <x v="10"/>
  </r>
  <r>
    <n v="73"/>
    <s v="Collins-Goodman"/>
    <s v="Cross-platform even-keeled initiative"/>
    <n v="1400"/>
    <n v="9253"/>
    <x v="1"/>
    <n v="88"/>
    <x v="1"/>
    <s v="USD"/>
    <n v="660.92857142857144"/>
    <n v="1480226400"/>
    <n v="105.14772727272727"/>
    <n v="1480485600"/>
    <b v="0"/>
    <b v="0"/>
    <s v="music/jazz"/>
    <x v="1"/>
    <x v="17"/>
  </r>
  <r>
    <n v="74"/>
    <s v="Davis-Michael"/>
    <s v="Progressive tertiary framework"/>
    <n v="3900"/>
    <n v="4776"/>
    <x v="1"/>
    <n v="85"/>
    <x v="4"/>
    <s v="GBP"/>
    <n v="122.46153846153847"/>
    <n v="1459054800"/>
    <n v="56.188235294117646"/>
    <n v="1459141200"/>
    <b v="0"/>
    <b v="0"/>
    <s v="music/metal"/>
    <x v="1"/>
    <x v="16"/>
  </r>
  <r>
    <n v="75"/>
    <s v="White, Torres and Bishop"/>
    <s v="Multi-layered dynamic protocol"/>
    <n v="9700"/>
    <n v="14606"/>
    <x v="1"/>
    <n v="170"/>
    <x v="1"/>
    <s v="USD"/>
    <n v="150.57731958762886"/>
    <n v="1531630800"/>
    <n v="85.917647058823533"/>
    <n v="1532322000"/>
    <b v="0"/>
    <b v="0"/>
    <s v="photography/photography books"/>
    <x v="7"/>
    <x v="14"/>
  </r>
  <r>
    <n v="76"/>
    <s v="Martin, Conway and Larsen"/>
    <s v="Horizontal next generation function"/>
    <n v="122900"/>
    <n v="95993"/>
    <x v="0"/>
    <n v="1684"/>
    <x v="1"/>
    <s v="USD"/>
    <n v="78.106590724165997"/>
    <n v="1421992800"/>
    <n v="57.00296912114014"/>
    <n v="1426222800"/>
    <b v="1"/>
    <b v="1"/>
    <s v="theater/plays"/>
    <x v="3"/>
    <x v="3"/>
  </r>
  <r>
    <n v="77"/>
    <s v="Acevedo-Huffman"/>
    <s v="Pre-emptive impactful model"/>
    <n v="9500"/>
    <n v="4460"/>
    <x v="0"/>
    <n v="56"/>
    <x v="1"/>
    <s v="USD"/>
    <n v="46.94736842105263"/>
    <n v="1285563600"/>
    <n v="79.642857142857139"/>
    <n v="1286773200"/>
    <b v="0"/>
    <b v="1"/>
    <s v="film &amp; video/animation"/>
    <x v="4"/>
    <x v="10"/>
  </r>
  <r>
    <n v="78"/>
    <s v="Montgomery, Larson and Spencer"/>
    <s v="User-centric bifurcated knowledge user"/>
    <n v="4500"/>
    <n v="13536"/>
    <x v="1"/>
    <n v="330"/>
    <x v="1"/>
    <s v="USD"/>
    <n v="300.8"/>
    <n v="1523854800"/>
    <n v="41.018181818181816"/>
    <n v="1523941200"/>
    <b v="0"/>
    <b v="0"/>
    <s v="publishing/translations"/>
    <x v="5"/>
    <x v="18"/>
  </r>
  <r>
    <n v="79"/>
    <s v="Soto LLC"/>
    <s v="Triple-buffered reciprocal project"/>
    <n v="57800"/>
    <n v="40228"/>
    <x v="0"/>
    <n v="838"/>
    <x v="1"/>
    <s v="USD"/>
    <n v="69.598615916955026"/>
    <n v="1529125200"/>
    <n v="48.004773269689736"/>
    <n v="1529557200"/>
    <b v="0"/>
    <b v="0"/>
    <s v="theater/plays"/>
    <x v="3"/>
    <x v="3"/>
  </r>
  <r>
    <n v="80"/>
    <s v="Sutton, Barrett and Tucker"/>
    <s v="Cross-platform needs-based approach"/>
    <n v="1100"/>
    <n v="7012"/>
    <x v="1"/>
    <n v="127"/>
    <x v="1"/>
    <s v="USD"/>
    <n v="637.4545454545455"/>
    <n v="1503982800"/>
    <n v="55.212598425196852"/>
    <n v="1506574800"/>
    <b v="0"/>
    <b v="0"/>
    <s v="games/video games"/>
    <x v="6"/>
    <x v="11"/>
  </r>
  <r>
    <n v="81"/>
    <s v="Gomez, Bailey and Flores"/>
    <s v="User-friendly static contingency"/>
    <n v="16800"/>
    <n v="37857"/>
    <x v="1"/>
    <n v="411"/>
    <x v="1"/>
    <s v="USD"/>
    <n v="225.33928571428569"/>
    <n v="1511416800"/>
    <n v="92.109489051094897"/>
    <n v="1513576800"/>
    <b v="0"/>
    <b v="0"/>
    <s v="music/rock"/>
    <x v="1"/>
    <x v="1"/>
  </r>
  <r>
    <n v="82"/>
    <s v="Porter-George"/>
    <s v="Reactive content-based framework"/>
    <n v="1000"/>
    <n v="14973"/>
    <x v="1"/>
    <n v="180"/>
    <x v="4"/>
    <s v="GBP"/>
    <n v="1497.3000000000002"/>
    <n v="1547704800"/>
    <n v="83.183333333333337"/>
    <n v="1548309600"/>
    <b v="0"/>
    <b v="1"/>
    <s v="games/video games"/>
    <x v="6"/>
    <x v="11"/>
  </r>
  <r>
    <n v="83"/>
    <s v="Fitzgerald PLC"/>
    <s v="Realigned user-facing concept"/>
    <n v="106400"/>
    <n v="39996"/>
    <x v="0"/>
    <n v="1000"/>
    <x v="1"/>
    <s v="USD"/>
    <n v="37.590225563909776"/>
    <n v="1469682000"/>
    <n v="39.996000000000002"/>
    <n v="1471582800"/>
    <b v="0"/>
    <b v="0"/>
    <s v="music/electric music"/>
    <x v="1"/>
    <x v="5"/>
  </r>
  <r>
    <n v="84"/>
    <s v="Cisneros-Burton"/>
    <s v="Public-key zero tolerance orchestration"/>
    <n v="31400"/>
    <n v="41564"/>
    <x v="1"/>
    <n v="374"/>
    <x v="1"/>
    <s v="USD"/>
    <n v="132.36942675159236"/>
    <n v="1343451600"/>
    <n v="111.1336898395722"/>
    <n v="1344315600"/>
    <b v="0"/>
    <b v="0"/>
    <s v="technology/wearables"/>
    <x v="2"/>
    <x v="8"/>
  </r>
  <r>
    <n v="85"/>
    <s v="Hill, Lawson and Wilkinson"/>
    <s v="Multi-tiered eco-centric architecture"/>
    <n v="4900"/>
    <n v="6430"/>
    <x v="1"/>
    <n v="71"/>
    <x v="2"/>
    <s v="AUD"/>
    <n v="131.22448979591837"/>
    <n v="1315717200"/>
    <n v="90.563380281690144"/>
    <n v="1316408400"/>
    <b v="0"/>
    <b v="0"/>
    <s v="music/indie rock"/>
    <x v="1"/>
    <x v="7"/>
  </r>
  <r>
    <n v="86"/>
    <s v="Davis-Smith"/>
    <s v="Organic motivating firmware"/>
    <n v="7400"/>
    <n v="12405"/>
    <x v="1"/>
    <n v="203"/>
    <x v="1"/>
    <s v="USD"/>
    <n v="167.63513513513513"/>
    <n v="1430715600"/>
    <n v="61.108374384236456"/>
    <n v="1431838800"/>
    <b v="1"/>
    <b v="0"/>
    <s v="theater/plays"/>
    <x v="3"/>
    <x v="3"/>
  </r>
  <r>
    <n v="87"/>
    <s v="Farrell and Sons"/>
    <s v="Synergized 4thgeneration conglomeration"/>
    <n v="198500"/>
    <n v="123040"/>
    <x v="0"/>
    <n v="1482"/>
    <x v="2"/>
    <s v="AUD"/>
    <n v="61.984886649874063"/>
    <n v="1299564000"/>
    <n v="83.022941970310384"/>
    <n v="1300510800"/>
    <b v="0"/>
    <b v="1"/>
    <s v="music/rock"/>
    <x v="1"/>
    <x v="1"/>
  </r>
  <r>
    <n v="88"/>
    <s v="Clark Group"/>
    <s v="Grass-roots fault-tolerant policy"/>
    <n v="4800"/>
    <n v="12516"/>
    <x v="1"/>
    <n v="113"/>
    <x v="1"/>
    <s v="USD"/>
    <n v="260.75"/>
    <n v="1429160400"/>
    <n v="110.76106194690266"/>
    <n v="1431061200"/>
    <b v="0"/>
    <b v="0"/>
    <s v="publishing/translations"/>
    <x v="5"/>
    <x v="18"/>
  </r>
  <r>
    <n v="89"/>
    <s v="White, Singleton and Zimmerman"/>
    <s v="Monitored scalable knowledgebase"/>
    <n v="3400"/>
    <n v="8588"/>
    <x v="1"/>
    <n v="96"/>
    <x v="1"/>
    <s v="USD"/>
    <n v="252.58823529411765"/>
    <n v="1271307600"/>
    <n v="89.458333333333329"/>
    <n v="1271480400"/>
    <b v="0"/>
    <b v="0"/>
    <s v="theater/plays"/>
    <x v="3"/>
    <x v="3"/>
  </r>
  <r>
    <n v="90"/>
    <s v="Kramer Group"/>
    <s v="Synergistic explicit parallelism"/>
    <n v="7800"/>
    <n v="6132"/>
    <x v="0"/>
    <n v="106"/>
    <x v="1"/>
    <s v="USD"/>
    <n v="78.615384615384613"/>
    <n v="1456380000"/>
    <n v="57.849056603773583"/>
    <n v="1456380000"/>
    <b v="0"/>
    <b v="1"/>
    <s v="theater/plays"/>
    <x v="3"/>
    <x v="3"/>
  </r>
  <r>
    <n v="91"/>
    <s v="Frazier, Patrick and Smith"/>
    <s v="Enhanced systemic analyzer"/>
    <n v="154300"/>
    <n v="74688"/>
    <x v="0"/>
    <n v="679"/>
    <x v="6"/>
    <s v="EUR"/>
    <n v="48.404406999351913"/>
    <n v="1470459600"/>
    <n v="109.99705449189985"/>
    <n v="1472878800"/>
    <b v="0"/>
    <b v="0"/>
    <s v="publishing/translations"/>
    <x v="5"/>
    <x v="18"/>
  </r>
  <r>
    <n v="92"/>
    <s v="Santos, Bell and Lloyd"/>
    <s v="Object-based analyzing knowledge user"/>
    <n v="20000"/>
    <n v="51775"/>
    <x v="1"/>
    <n v="498"/>
    <x v="5"/>
    <s v="CHF"/>
    <n v="258.875"/>
    <n v="1277269200"/>
    <n v="103.96586345381526"/>
    <n v="1277355600"/>
    <b v="0"/>
    <b v="1"/>
    <s v="games/video games"/>
    <x v="6"/>
    <x v="11"/>
  </r>
  <r>
    <n v="93"/>
    <s v="Hall and Sons"/>
    <s v="Pre-emptive radical architecture"/>
    <n v="108800"/>
    <n v="65877"/>
    <x v="3"/>
    <n v="610"/>
    <x v="1"/>
    <s v="USD"/>
    <n v="60.548713235294116"/>
    <n v="1350709200"/>
    <n v="107.99508196721311"/>
    <n v="1351054800"/>
    <b v="0"/>
    <b v="1"/>
    <s v="theater/plays"/>
    <x v="3"/>
    <x v="3"/>
  </r>
  <r>
    <n v="94"/>
    <s v="Hanson Inc"/>
    <s v="Grass-roots web-enabled contingency"/>
    <n v="2900"/>
    <n v="8807"/>
    <x v="1"/>
    <n v="180"/>
    <x v="4"/>
    <s v="GBP"/>
    <n v="303.68965517241378"/>
    <n v="1554613200"/>
    <n v="48.927777777777777"/>
    <n v="1555563600"/>
    <b v="0"/>
    <b v="0"/>
    <s v="technology/web"/>
    <x v="2"/>
    <x v="2"/>
  </r>
  <r>
    <n v="95"/>
    <s v="Sanchez LLC"/>
    <s v="Stand-alone system-worthy standardization"/>
    <n v="900"/>
    <n v="1017"/>
    <x v="1"/>
    <n v="27"/>
    <x v="1"/>
    <s v="USD"/>
    <n v="112.99999999999999"/>
    <n v="1571029200"/>
    <n v="37.666666666666664"/>
    <n v="1571634000"/>
    <b v="0"/>
    <b v="0"/>
    <s v="film &amp; video/documentary"/>
    <x v="4"/>
    <x v="4"/>
  </r>
  <r>
    <n v="96"/>
    <s v="Howard Ltd"/>
    <s v="Down-sized systematic policy"/>
    <n v="69700"/>
    <n v="151513"/>
    <x v="1"/>
    <n v="2331"/>
    <x v="1"/>
    <s v="USD"/>
    <n v="217.37876614060258"/>
    <n v="1299736800"/>
    <n v="64.999141999141997"/>
    <n v="1300856400"/>
    <b v="0"/>
    <b v="0"/>
    <s v="theater/plays"/>
    <x v="3"/>
    <x v="3"/>
  </r>
  <r>
    <n v="97"/>
    <s v="Stewart LLC"/>
    <s v="Cloned bi-directional architecture"/>
    <n v="1300"/>
    <n v="12047"/>
    <x v="1"/>
    <n v="113"/>
    <x v="1"/>
    <s v="USD"/>
    <n v="926.69230769230762"/>
    <n v="1435208400"/>
    <n v="106.61061946902655"/>
    <n v="1439874000"/>
    <b v="0"/>
    <b v="0"/>
    <s v="food/food trucks"/>
    <x v="0"/>
    <x v="0"/>
  </r>
  <r>
    <n v="98"/>
    <s v="Arias, Allen and Miller"/>
    <s v="Seamless transitional portal"/>
    <n v="97800"/>
    <n v="32951"/>
    <x v="0"/>
    <n v="1220"/>
    <x v="2"/>
    <s v="AUD"/>
    <n v="33.692229038854805"/>
    <n v="1437973200"/>
    <n v="27.009016393442622"/>
    <n v="1438318800"/>
    <b v="0"/>
    <b v="0"/>
    <s v="games/video games"/>
    <x v="6"/>
    <x v="11"/>
  </r>
  <r>
    <n v="99"/>
    <s v="Baker-Morris"/>
    <s v="Fully-configurable motivating approach"/>
    <n v="7600"/>
    <n v="14951"/>
    <x v="1"/>
    <n v="164"/>
    <x v="1"/>
    <s v="USD"/>
    <n v="196.7236842105263"/>
    <n v="1416895200"/>
    <n v="91.16463414634147"/>
    <n v="1419400800"/>
    <b v="0"/>
    <b v="0"/>
    <s v="theater/plays"/>
    <x v="3"/>
    <x v="3"/>
  </r>
  <r>
    <n v="100"/>
    <s v="Tucker, Fox and Green"/>
    <s v="Upgradable fault-tolerant approach"/>
    <n v="100"/>
    <n v="1"/>
    <x v="0"/>
    <n v="1"/>
    <x v="1"/>
    <s v="USD"/>
    <n v="1"/>
    <n v="1319000400"/>
    <n v="1"/>
    <n v="1320555600"/>
    <b v="0"/>
    <b v="0"/>
    <s v="theater/plays"/>
    <x v="3"/>
    <x v="3"/>
  </r>
  <r>
    <n v="101"/>
    <s v="Douglas LLC"/>
    <s v="Reduced heuristic moratorium"/>
    <n v="900"/>
    <n v="9193"/>
    <x v="1"/>
    <n v="164"/>
    <x v="1"/>
    <s v="USD"/>
    <n v="1021.4444444444445"/>
    <n v="1424498400"/>
    <n v="56.054878048780488"/>
    <n v="1425103200"/>
    <b v="0"/>
    <b v="1"/>
    <s v="music/electric music"/>
    <x v="1"/>
    <x v="5"/>
  </r>
  <r>
    <n v="102"/>
    <s v="Garcia Inc"/>
    <s v="Front-line web-enabled model"/>
    <n v="3700"/>
    <n v="10422"/>
    <x v="1"/>
    <n v="336"/>
    <x v="1"/>
    <s v="USD"/>
    <n v="281.67567567567568"/>
    <n v="1526274000"/>
    <n v="31.017857142857142"/>
    <n v="1526878800"/>
    <b v="0"/>
    <b v="1"/>
    <s v="technology/wearables"/>
    <x v="2"/>
    <x v="8"/>
  </r>
  <r>
    <n v="103"/>
    <s v="Frye, Hunt and Powell"/>
    <s v="Polarized incremental emulation"/>
    <n v="10000"/>
    <n v="2461"/>
    <x v="0"/>
    <n v="37"/>
    <x v="6"/>
    <s v="EUR"/>
    <n v="24.610000000000003"/>
    <n v="1287896400"/>
    <n v="66.513513513513516"/>
    <n v="1288674000"/>
    <b v="0"/>
    <b v="0"/>
    <s v="music/electric music"/>
    <x v="1"/>
    <x v="5"/>
  </r>
  <r>
    <n v="104"/>
    <s v="Smith, Wells and Nguyen"/>
    <s v="Self-enabling grid-enabled initiative"/>
    <n v="119200"/>
    <n v="170623"/>
    <x v="1"/>
    <n v="1917"/>
    <x v="1"/>
    <s v="USD"/>
    <n v="143.14010067114094"/>
    <n v="1495515600"/>
    <n v="89.005216484089729"/>
    <n v="1495602000"/>
    <b v="0"/>
    <b v="0"/>
    <s v="music/indie rock"/>
    <x v="1"/>
    <x v="7"/>
  </r>
  <r>
    <n v="105"/>
    <s v="Charles-Johnson"/>
    <s v="Total fresh-thinking system engine"/>
    <n v="6800"/>
    <n v="9829"/>
    <x v="1"/>
    <n v="95"/>
    <x v="1"/>
    <s v="USD"/>
    <n v="144.54411764705884"/>
    <n v="1364878800"/>
    <n v="103.46315789473684"/>
    <n v="1366434000"/>
    <b v="0"/>
    <b v="0"/>
    <s v="technology/web"/>
    <x v="2"/>
    <x v="2"/>
  </r>
  <r>
    <n v="106"/>
    <s v="Brandt, Carter and Wood"/>
    <s v="Ameliorated clear-thinking circuit"/>
    <n v="3900"/>
    <n v="14006"/>
    <x v="1"/>
    <n v="147"/>
    <x v="1"/>
    <s v="USD"/>
    <n v="359.12820512820514"/>
    <n v="1567918800"/>
    <n v="95.278911564625844"/>
    <n v="1568350800"/>
    <b v="0"/>
    <b v="0"/>
    <s v="theater/plays"/>
    <x v="3"/>
    <x v="3"/>
  </r>
  <r>
    <n v="107"/>
    <s v="Tucker, Schmidt and Reid"/>
    <s v="Multi-layered encompassing installation"/>
    <n v="3500"/>
    <n v="6527"/>
    <x v="1"/>
    <n v="86"/>
    <x v="1"/>
    <s v="USD"/>
    <n v="186.48571428571427"/>
    <n v="1524459600"/>
    <n v="75.895348837209298"/>
    <n v="1525928400"/>
    <b v="0"/>
    <b v="1"/>
    <s v="theater/plays"/>
    <x v="3"/>
    <x v="3"/>
  </r>
  <r>
    <n v="108"/>
    <s v="Decker Inc"/>
    <s v="Universal encompassing implementation"/>
    <n v="1500"/>
    <n v="8929"/>
    <x v="1"/>
    <n v="83"/>
    <x v="1"/>
    <s v="USD"/>
    <n v="595.26666666666665"/>
    <n v="1333688400"/>
    <n v="107.57831325301204"/>
    <n v="1336885200"/>
    <b v="0"/>
    <b v="0"/>
    <s v="film &amp; video/documentary"/>
    <x v="4"/>
    <x v="4"/>
  </r>
  <r>
    <n v="109"/>
    <s v="Romero and Sons"/>
    <s v="Object-based client-server application"/>
    <n v="5200"/>
    <n v="3079"/>
    <x v="0"/>
    <n v="60"/>
    <x v="1"/>
    <s v="USD"/>
    <n v="59.21153846153846"/>
    <n v="1389506400"/>
    <n v="51.31666666666667"/>
    <n v="1389679200"/>
    <b v="0"/>
    <b v="0"/>
    <s v="film &amp; video/television"/>
    <x v="4"/>
    <x v="19"/>
  </r>
  <r>
    <n v="110"/>
    <s v="Castillo-Carey"/>
    <s v="Cross-platform solution-oriented process improvement"/>
    <n v="142400"/>
    <n v="21307"/>
    <x v="0"/>
    <n v="296"/>
    <x v="1"/>
    <s v="USD"/>
    <n v="14.962780898876405"/>
    <n v="1536642000"/>
    <n v="71.983108108108112"/>
    <n v="1538283600"/>
    <b v="0"/>
    <b v="0"/>
    <s v="food/food trucks"/>
    <x v="0"/>
    <x v="0"/>
  </r>
  <r>
    <n v="111"/>
    <s v="Hart-Briggs"/>
    <s v="Re-engineered user-facing approach"/>
    <n v="61400"/>
    <n v="73653"/>
    <x v="1"/>
    <n v="676"/>
    <x v="1"/>
    <s v="USD"/>
    <n v="119.95602605863192"/>
    <n v="1348290000"/>
    <n v="108.95414201183432"/>
    <n v="1348808400"/>
    <b v="0"/>
    <b v="0"/>
    <s v="publishing/radio &amp; podcasts"/>
    <x v="5"/>
    <x v="15"/>
  </r>
  <r>
    <n v="112"/>
    <s v="Jones-Meyer"/>
    <s v="Re-engineered client-driven hub"/>
    <n v="4700"/>
    <n v="12635"/>
    <x v="1"/>
    <n v="361"/>
    <x v="2"/>
    <s v="AUD"/>
    <n v="268.82978723404256"/>
    <n v="1408856400"/>
    <n v="35"/>
    <n v="1410152400"/>
    <b v="0"/>
    <b v="0"/>
    <s v="technology/web"/>
    <x v="2"/>
    <x v="2"/>
  </r>
  <r>
    <n v="113"/>
    <s v="Wright, Hartman and Yu"/>
    <s v="User-friendly tertiary array"/>
    <n v="3300"/>
    <n v="12437"/>
    <x v="1"/>
    <n v="131"/>
    <x v="1"/>
    <s v="USD"/>
    <n v="376.87878787878788"/>
    <n v="1505192400"/>
    <n v="94.938931297709928"/>
    <n v="1505797200"/>
    <b v="0"/>
    <b v="0"/>
    <s v="food/food trucks"/>
    <x v="0"/>
    <x v="0"/>
  </r>
  <r>
    <n v="114"/>
    <s v="Harper-Davis"/>
    <s v="Robust heuristic encoding"/>
    <n v="1900"/>
    <n v="13816"/>
    <x v="1"/>
    <n v="126"/>
    <x v="1"/>
    <s v="USD"/>
    <n v="727.15789473684208"/>
    <n v="1554786000"/>
    <n v="109.65079365079364"/>
    <n v="1554872400"/>
    <b v="0"/>
    <b v="1"/>
    <s v="technology/wearables"/>
    <x v="2"/>
    <x v="8"/>
  </r>
  <r>
    <n v="115"/>
    <s v="Barrett PLC"/>
    <s v="Team-oriented clear-thinking capacity"/>
    <n v="166700"/>
    <n v="145382"/>
    <x v="0"/>
    <n v="3304"/>
    <x v="6"/>
    <s v="EUR"/>
    <n v="87.211757648470297"/>
    <n v="1510898400"/>
    <n v="44.001815980629537"/>
    <n v="1513922400"/>
    <b v="0"/>
    <b v="0"/>
    <s v="publishing/fiction"/>
    <x v="5"/>
    <x v="13"/>
  </r>
  <r>
    <n v="116"/>
    <s v="David-Clark"/>
    <s v="De-engineered motivating standardization"/>
    <n v="7200"/>
    <n v="6336"/>
    <x v="0"/>
    <n v="73"/>
    <x v="1"/>
    <s v="USD"/>
    <n v="88"/>
    <n v="1442552400"/>
    <n v="86.794520547945211"/>
    <n v="1442638800"/>
    <b v="0"/>
    <b v="0"/>
    <s v="theater/plays"/>
    <x v="3"/>
    <x v="3"/>
  </r>
  <r>
    <n v="117"/>
    <s v="Chaney-Dennis"/>
    <s v="Business-focused 24hour groupware"/>
    <n v="4900"/>
    <n v="8523"/>
    <x v="1"/>
    <n v="275"/>
    <x v="1"/>
    <s v="USD"/>
    <n v="173.9387755102041"/>
    <n v="1316667600"/>
    <n v="30.992727272727272"/>
    <n v="1317186000"/>
    <b v="0"/>
    <b v="0"/>
    <s v="film &amp; video/television"/>
    <x v="4"/>
    <x v="19"/>
  </r>
  <r>
    <n v="118"/>
    <s v="Robinson, Lopez and Christensen"/>
    <s v="Organic next generation protocol"/>
    <n v="5400"/>
    <n v="6351"/>
    <x v="1"/>
    <n v="67"/>
    <x v="1"/>
    <s v="USD"/>
    <n v="117.61111111111111"/>
    <n v="1390716000"/>
    <n v="94.791044776119406"/>
    <n v="1391234400"/>
    <b v="0"/>
    <b v="0"/>
    <s v="photography/photography books"/>
    <x v="7"/>
    <x v="14"/>
  </r>
  <r>
    <n v="119"/>
    <s v="Clark and Sons"/>
    <s v="Reverse-engineered full-range Internet solution"/>
    <n v="5000"/>
    <n v="10748"/>
    <x v="1"/>
    <n v="154"/>
    <x v="1"/>
    <s v="USD"/>
    <n v="214.96"/>
    <n v="1402894800"/>
    <n v="69.79220779220779"/>
    <n v="1404363600"/>
    <b v="0"/>
    <b v="1"/>
    <s v="film &amp; video/documentary"/>
    <x v="4"/>
    <x v="4"/>
  </r>
  <r>
    <n v="120"/>
    <s v="Vega Group"/>
    <s v="Synchronized regional synergy"/>
    <n v="75100"/>
    <n v="112272"/>
    <x v="1"/>
    <n v="1782"/>
    <x v="1"/>
    <s v="USD"/>
    <n v="149.49667110519306"/>
    <n v="1429246800"/>
    <n v="63.003367003367003"/>
    <n v="1429592400"/>
    <b v="0"/>
    <b v="1"/>
    <s v="games/mobile games"/>
    <x v="6"/>
    <x v="20"/>
  </r>
  <r>
    <n v="121"/>
    <s v="Brown-Brown"/>
    <s v="Multi-lateral homogeneous success"/>
    <n v="45300"/>
    <n v="99361"/>
    <x v="1"/>
    <n v="903"/>
    <x v="1"/>
    <s v="USD"/>
    <n v="219.33995584988963"/>
    <n v="1412485200"/>
    <n v="110.0343300110742"/>
    <n v="1413608400"/>
    <b v="0"/>
    <b v="0"/>
    <s v="games/video games"/>
    <x v="6"/>
    <x v="11"/>
  </r>
  <r>
    <n v="122"/>
    <s v="Taylor PLC"/>
    <s v="Seamless zero-defect solution"/>
    <n v="136800"/>
    <n v="88055"/>
    <x v="0"/>
    <n v="3387"/>
    <x v="1"/>
    <s v="USD"/>
    <n v="64.367690058479525"/>
    <n v="1417068000"/>
    <n v="25.997933274284026"/>
    <n v="1419400800"/>
    <b v="0"/>
    <b v="0"/>
    <s v="publishing/fiction"/>
    <x v="5"/>
    <x v="13"/>
  </r>
  <r>
    <n v="123"/>
    <s v="Edwards-Lewis"/>
    <s v="Enhanced scalable concept"/>
    <n v="177700"/>
    <n v="33092"/>
    <x v="0"/>
    <n v="662"/>
    <x v="0"/>
    <s v="CAD"/>
    <n v="18.622397298818232"/>
    <n v="1448344800"/>
    <n v="49.987915407854985"/>
    <n v="1448604000"/>
    <b v="1"/>
    <b v="0"/>
    <s v="theater/plays"/>
    <x v="3"/>
    <x v="3"/>
  </r>
  <r>
    <n v="124"/>
    <s v="Stanton, Neal and Rodriguez"/>
    <s v="Polarized uniform software"/>
    <n v="2600"/>
    <n v="9562"/>
    <x v="1"/>
    <n v="94"/>
    <x v="6"/>
    <s v="EUR"/>
    <n v="367.76923076923077"/>
    <n v="1557723600"/>
    <n v="101.72340425531915"/>
    <n v="1562302800"/>
    <b v="0"/>
    <b v="0"/>
    <s v="photography/photography books"/>
    <x v="7"/>
    <x v="14"/>
  </r>
  <r>
    <n v="125"/>
    <s v="Pratt LLC"/>
    <s v="Stand-alone web-enabled moderator"/>
    <n v="5300"/>
    <n v="8475"/>
    <x v="1"/>
    <n v="180"/>
    <x v="1"/>
    <s v="USD"/>
    <n v="159.90566037735849"/>
    <n v="1537333200"/>
    <n v="47.083333333333336"/>
    <n v="1537678800"/>
    <b v="0"/>
    <b v="0"/>
    <s v="theater/plays"/>
    <x v="3"/>
    <x v="3"/>
  </r>
  <r>
    <n v="126"/>
    <s v="Gross PLC"/>
    <s v="Proactive methodical benchmark"/>
    <n v="180200"/>
    <n v="69617"/>
    <x v="0"/>
    <n v="774"/>
    <x v="1"/>
    <s v="USD"/>
    <n v="38.633185349611544"/>
    <n v="1471150800"/>
    <n v="89.944444444444443"/>
    <n v="1473570000"/>
    <b v="0"/>
    <b v="1"/>
    <s v="theater/plays"/>
    <x v="3"/>
    <x v="3"/>
  </r>
  <r>
    <n v="127"/>
    <s v="Martinez, Gomez and Dalton"/>
    <s v="Team-oriented 6thgeneration matrix"/>
    <n v="103200"/>
    <n v="53067"/>
    <x v="0"/>
    <n v="672"/>
    <x v="0"/>
    <s v="CAD"/>
    <n v="51.42151162790698"/>
    <n v="1273640400"/>
    <n v="78.96875"/>
    <n v="1273899600"/>
    <b v="0"/>
    <b v="0"/>
    <s v="theater/plays"/>
    <x v="3"/>
    <x v="3"/>
  </r>
  <r>
    <n v="128"/>
    <s v="Allen-Curtis"/>
    <s v="Phased human-resource core"/>
    <n v="70600"/>
    <n v="42596"/>
    <x v="3"/>
    <n v="532"/>
    <x v="1"/>
    <s v="USD"/>
    <n v="60.334277620396605"/>
    <n v="1282885200"/>
    <n v="80.067669172932327"/>
    <n v="1284008400"/>
    <b v="0"/>
    <b v="0"/>
    <s v="music/rock"/>
    <x v="1"/>
    <x v="1"/>
  </r>
  <r>
    <n v="129"/>
    <s v="Morgan-Martinez"/>
    <s v="Mandatory tertiary implementation"/>
    <n v="148500"/>
    <n v="4756"/>
    <x v="3"/>
    <n v="55"/>
    <x v="2"/>
    <s v="AUD"/>
    <n v="3.202693602693603"/>
    <n v="1422943200"/>
    <n v="86.472727272727269"/>
    <n v="1425103200"/>
    <b v="0"/>
    <b v="0"/>
    <s v="food/food trucks"/>
    <x v="0"/>
    <x v="0"/>
  </r>
  <r>
    <n v="130"/>
    <s v="Luna, Anderson and Fox"/>
    <s v="Secured directional encryption"/>
    <n v="9600"/>
    <n v="14925"/>
    <x v="1"/>
    <n v="533"/>
    <x v="3"/>
    <s v="DKK"/>
    <n v="155.46875"/>
    <n v="1319605200"/>
    <n v="28.001876172607879"/>
    <n v="1320991200"/>
    <b v="0"/>
    <b v="0"/>
    <s v="film &amp; video/drama"/>
    <x v="4"/>
    <x v="6"/>
  </r>
  <r>
    <n v="131"/>
    <s v="Fleming, Zhang and Henderson"/>
    <s v="Distributed 5thgeneration implementation"/>
    <n v="164700"/>
    <n v="166116"/>
    <x v="1"/>
    <n v="2443"/>
    <x v="4"/>
    <s v="GBP"/>
    <n v="100.85974499089254"/>
    <n v="1385704800"/>
    <n v="67.996725337699544"/>
    <n v="1386828000"/>
    <b v="0"/>
    <b v="0"/>
    <s v="technology/web"/>
    <x v="2"/>
    <x v="2"/>
  </r>
  <r>
    <n v="132"/>
    <s v="Flowers and Sons"/>
    <s v="Virtual static core"/>
    <n v="3300"/>
    <n v="3834"/>
    <x v="1"/>
    <n v="89"/>
    <x v="1"/>
    <s v="USD"/>
    <n v="116.18181818181819"/>
    <n v="1515736800"/>
    <n v="43.078651685393261"/>
    <n v="1517119200"/>
    <b v="0"/>
    <b v="1"/>
    <s v="theater/plays"/>
    <x v="3"/>
    <x v="3"/>
  </r>
  <r>
    <n v="133"/>
    <s v="Gates PLC"/>
    <s v="Secured content-based product"/>
    <n v="4500"/>
    <n v="13985"/>
    <x v="1"/>
    <n v="159"/>
    <x v="1"/>
    <s v="USD"/>
    <n v="310.77777777777777"/>
    <n v="1313125200"/>
    <n v="87.95597484276729"/>
    <n v="1315026000"/>
    <b v="0"/>
    <b v="0"/>
    <s v="music/world music"/>
    <x v="1"/>
    <x v="21"/>
  </r>
  <r>
    <n v="134"/>
    <s v="Caldwell LLC"/>
    <s v="Secured executive concept"/>
    <n v="99500"/>
    <n v="89288"/>
    <x v="0"/>
    <n v="940"/>
    <x v="5"/>
    <s v="CHF"/>
    <n v="89.73668341708543"/>
    <n v="1308459600"/>
    <n v="94.987234042553197"/>
    <n v="1312693200"/>
    <b v="0"/>
    <b v="1"/>
    <s v="film &amp; video/documentary"/>
    <x v="4"/>
    <x v="4"/>
  </r>
  <r>
    <n v="135"/>
    <s v="Le, Burton and Evans"/>
    <s v="Balanced zero-defect software"/>
    <n v="7700"/>
    <n v="5488"/>
    <x v="0"/>
    <n v="117"/>
    <x v="1"/>
    <s v="USD"/>
    <n v="71.27272727272728"/>
    <n v="1362636000"/>
    <n v="46.905982905982903"/>
    <n v="1363064400"/>
    <b v="0"/>
    <b v="1"/>
    <s v="theater/plays"/>
    <x v="3"/>
    <x v="3"/>
  </r>
  <r>
    <n v="136"/>
    <s v="Briggs PLC"/>
    <s v="Distributed context-sensitive flexibility"/>
    <n v="82800"/>
    <n v="2721"/>
    <x v="3"/>
    <n v="58"/>
    <x v="1"/>
    <s v="USD"/>
    <n v="3.2862318840579712"/>
    <n v="1402117200"/>
    <n v="46.913793103448278"/>
    <n v="1403154000"/>
    <b v="0"/>
    <b v="1"/>
    <s v="film &amp; video/drama"/>
    <x v="4"/>
    <x v="6"/>
  </r>
  <r>
    <n v="137"/>
    <s v="Hudson-Nguyen"/>
    <s v="Down-sized disintermediate support"/>
    <n v="1800"/>
    <n v="4712"/>
    <x v="1"/>
    <n v="50"/>
    <x v="1"/>
    <s v="USD"/>
    <n v="261.77777777777777"/>
    <n v="1286341200"/>
    <n v="94.24"/>
    <n v="1286859600"/>
    <b v="0"/>
    <b v="0"/>
    <s v="publishing/nonfiction"/>
    <x v="5"/>
    <x v="9"/>
  </r>
  <r>
    <n v="138"/>
    <s v="Hogan Ltd"/>
    <s v="Stand-alone mission-critical moratorium"/>
    <n v="9600"/>
    <n v="9216"/>
    <x v="0"/>
    <n v="115"/>
    <x v="1"/>
    <s v="USD"/>
    <n v="96"/>
    <n v="1348808400"/>
    <n v="80.139130434782615"/>
    <n v="1349326800"/>
    <b v="0"/>
    <b v="0"/>
    <s v="games/mobile games"/>
    <x v="6"/>
    <x v="20"/>
  </r>
  <r>
    <n v="139"/>
    <s v="Hamilton, Wright and Chavez"/>
    <s v="Down-sized empowering protocol"/>
    <n v="92100"/>
    <n v="19246"/>
    <x v="0"/>
    <n v="326"/>
    <x v="1"/>
    <s v="USD"/>
    <n v="20.896851248642779"/>
    <n v="1429592400"/>
    <n v="59.036809815950917"/>
    <n v="1430974800"/>
    <b v="0"/>
    <b v="1"/>
    <s v="technology/wearables"/>
    <x v="2"/>
    <x v="8"/>
  </r>
  <r>
    <n v="140"/>
    <s v="Bautista-Cross"/>
    <s v="Fully-configurable coherent Internet solution"/>
    <n v="5500"/>
    <n v="12274"/>
    <x v="1"/>
    <n v="186"/>
    <x v="1"/>
    <s v="USD"/>
    <n v="223.16363636363636"/>
    <n v="1519538400"/>
    <n v="65.989247311827953"/>
    <n v="1519970400"/>
    <b v="0"/>
    <b v="0"/>
    <s v="film &amp; video/documentary"/>
    <x v="4"/>
    <x v="4"/>
  </r>
  <r>
    <n v="141"/>
    <s v="Jackson LLC"/>
    <s v="Distributed motivating algorithm"/>
    <n v="64300"/>
    <n v="65323"/>
    <x v="1"/>
    <n v="1071"/>
    <x v="1"/>
    <s v="USD"/>
    <n v="101.59097978227061"/>
    <n v="1434085200"/>
    <n v="60.992530345471522"/>
    <n v="1434603600"/>
    <b v="0"/>
    <b v="0"/>
    <s v="technology/web"/>
    <x v="2"/>
    <x v="2"/>
  </r>
  <r>
    <n v="142"/>
    <s v="Figueroa Ltd"/>
    <s v="Expanded solution-oriented benchmark"/>
    <n v="5000"/>
    <n v="11502"/>
    <x v="1"/>
    <n v="117"/>
    <x v="1"/>
    <s v="USD"/>
    <n v="230.03999999999996"/>
    <n v="1333688400"/>
    <n v="98.307692307692307"/>
    <n v="1337230800"/>
    <b v="0"/>
    <b v="0"/>
    <s v="technology/web"/>
    <x v="2"/>
    <x v="2"/>
  </r>
  <r>
    <n v="143"/>
    <s v="Avila-Jones"/>
    <s v="Implemented discrete secured line"/>
    <n v="5400"/>
    <n v="7322"/>
    <x v="1"/>
    <n v="70"/>
    <x v="1"/>
    <s v="USD"/>
    <n v="135.59259259259261"/>
    <n v="1277701200"/>
    <n v="104.6"/>
    <n v="1279429200"/>
    <b v="0"/>
    <b v="0"/>
    <s v="music/indie rock"/>
    <x v="1"/>
    <x v="7"/>
  </r>
  <r>
    <n v="144"/>
    <s v="Martin, Lopez and Hunter"/>
    <s v="Multi-lateral actuating installation"/>
    <n v="9000"/>
    <n v="11619"/>
    <x v="1"/>
    <n v="135"/>
    <x v="1"/>
    <s v="USD"/>
    <n v="129.1"/>
    <n v="1560747600"/>
    <n v="86.066666666666663"/>
    <n v="1561438800"/>
    <b v="0"/>
    <b v="0"/>
    <s v="theater/plays"/>
    <x v="3"/>
    <x v="3"/>
  </r>
  <r>
    <n v="145"/>
    <s v="Fields-Moore"/>
    <s v="Secured reciprocal array"/>
    <n v="25000"/>
    <n v="59128"/>
    <x v="1"/>
    <n v="768"/>
    <x v="5"/>
    <s v="CHF"/>
    <n v="236.512"/>
    <n v="1410066000"/>
    <n v="76.989583333333329"/>
    <n v="1410498000"/>
    <b v="0"/>
    <b v="0"/>
    <s v="technology/wearables"/>
    <x v="2"/>
    <x v="8"/>
  </r>
  <r>
    <n v="146"/>
    <s v="Harris-Golden"/>
    <s v="Optional bandwidth-monitored middleware"/>
    <n v="8800"/>
    <n v="1518"/>
    <x v="3"/>
    <n v="51"/>
    <x v="1"/>
    <s v="USD"/>
    <n v="17.25"/>
    <n v="1320732000"/>
    <n v="29.764705882352942"/>
    <n v="1322460000"/>
    <b v="0"/>
    <b v="0"/>
    <s v="theater/plays"/>
    <x v="3"/>
    <x v="3"/>
  </r>
  <r>
    <n v="147"/>
    <s v="Moss, Norman and Dunlap"/>
    <s v="Upgradable upward-trending workforce"/>
    <n v="8300"/>
    <n v="9337"/>
    <x v="1"/>
    <n v="199"/>
    <x v="1"/>
    <s v="USD"/>
    <n v="112.49397590361446"/>
    <n v="1465794000"/>
    <n v="46.91959798994975"/>
    <n v="1466312400"/>
    <b v="0"/>
    <b v="1"/>
    <s v="theater/plays"/>
    <x v="3"/>
    <x v="3"/>
  </r>
  <r>
    <n v="148"/>
    <s v="White, Larson and Wright"/>
    <s v="Upgradable hybrid capability"/>
    <n v="9300"/>
    <n v="11255"/>
    <x v="1"/>
    <n v="107"/>
    <x v="1"/>
    <s v="USD"/>
    <n v="121.02150537634408"/>
    <n v="1500958800"/>
    <n v="105.18691588785046"/>
    <n v="1501736400"/>
    <b v="0"/>
    <b v="0"/>
    <s v="technology/wearables"/>
    <x v="2"/>
    <x v="8"/>
  </r>
  <r>
    <n v="149"/>
    <s v="Payne, Oliver and Burch"/>
    <s v="Managed fresh-thinking flexibility"/>
    <n v="6200"/>
    <n v="13632"/>
    <x v="1"/>
    <n v="195"/>
    <x v="1"/>
    <s v="USD"/>
    <n v="219.87096774193549"/>
    <n v="1357020000"/>
    <n v="69.907692307692301"/>
    <n v="1361512800"/>
    <b v="0"/>
    <b v="0"/>
    <s v="music/indie rock"/>
    <x v="1"/>
    <x v="7"/>
  </r>
  <r>
    <n v="150"/>
    <s v="Brown, Palmer and Pace"/>
    <s v="Networked stable workforce"/>
    <n v="100"/>
    <n v="1"/>
    <x v="0"/>
    <n v="1"/>
    <x v="1"/>
    <s v="USD"/>
    <n v="1"/>
    <n v="1544940000"/>
    <n v="1"/>
    <n v="1545026400"/>
    <b v="0"/>
    <b v="0"/>
    <s v="music/rock"/>
    <x v="1"/>
    <x v="1"/>
  </r>
  <r>
    <n v="151"/>
    <s v="Parker LLC"/>
    <s v="Customizable intermediate extranet"/>
    <n v="137200"/>
    <n v="88037"/>
    <x v="0"/>
    <n v="1467"/>
    <x v="1"/>
    <s v="USD"/>
    <n v="64.166909620991248"/>
    <n v="1402290000"/>
    <n v="60.011588275391958"/>
    <n v="1406696400"/>
    <b v="0"/>
    <b v="0"/>
    <s v="music/electric music"/>
    <x v="1"/>
    <x v="5"/>
  </r>
  <r>
    <n v="152"/>
    <s v="Bowen, Mcdonald and Hall"/>
    <s v="User-centric fault-tolerant task-force"/>
    <n v="41500"/>
    <n v="175573"/>
    <x v="1"/>
    <n v="3376"/>
    <x v="1"/>
    <s v="USD"/>
    <n v="423.06746987951806"/>
    <n v="1487311200"/>
    <n v="52.006220379146917"/>
    <n v="1487916000"/>
    <b v="0"/>
    <b v="0"/>
    <s v="music/indie rock"/>
    <x v="1"/>
    <x v="7"/>
  </r>
  <r>
    <n v="153"/>
    <s v="Whitehead, Bell and Hughes"/>
    <s v="Multi-tiered radical definition"/>
    <n v="189400"/>
    <n v="176112"/>
    <x v="0"/>
    <n v="5681"/>
    <x v="1"/>
    <s v="USD"/>
    <n v="92.984160506863773"/>
    <n v="1350622800"/>
    <n v="31.000176025347649"/>
    <n v="1351141200"/>
    <b v="0"/>
    <b v="0"/>
    <s v="theater/plays"/>
    <x v="3"/>
    <x v="3"/>
  </r>
  <r>
    <n v="154"/>
    <s v="Rodriguez-Brown"/>
    <s v="Devolved foreground benchmark"/>
    <n v="171300"/>
    <n v="100650"/>
    <x v="0"/>
    <n v="1059"/>
    <x v="1"/>
    <s v="USD"/>
    <n v="58.756567425569173"/>
    <n v="1463029200"/>
    <n v="95.042492917847028"/>
    <n v="1465016400"/>
    <b v="0"/>
    <b v="1"/>
    <s v="music/indie rock"/>
    <x v="1"/>
    <x v="7"/>
  </r>
  <r>
    <n v="155"/>
    <s v="Hall-Schaefer"/>
    <s v="Distributed eco-centric methodology"/>
    <n v="139500"/>
    <n v="90706"/>
    <x v="0"/>
    <n v="1194"/>
    <x v="1"/>
    <s v="USD"/>
    <n v="65.022222222222226"/>
    <n v="1269493200"/>
    <n v="75.968174204355108"/>
    <n v="1270789200"/>
    <b v="0"/>
    <b v="0"/>
    <s v="theater/plays"/>
    <x v="3"/>
    <x v="3"/>
  </r>
  <r>
    <n v="156"/>
    <s v="Meza-Rogers"/>
    <s v="Streamlined encompassing encryption"/>
    <n v="36400"/>
    <n v="26914"/>
    <x v="3"/>
    <n v="379"/>
    <x v="2"/>
    <s v="AUD"/>
    <n v="73.939560439560438"/>
    <n v="1570251600"/>
    <n v="71.013192612137203"/>
    <n v="1572325200"/>
    <b v="0"/>
    <b v="0"/>
    <s v="music/rock"/>
    <x v="1"/>
    <x v="1"/>
  </r>
  <r>
    <n v="157"/>
    <s v="Curtis-Curtis"/>
    <s v="User-friendly reciprocal initiative"/>
    <n v="4200"/>
    <n v="2212"/>
    <x v="0"/>
    <n v="30"/>
    <x v="2"/>
    <s v="AUD"/>
    <n v="52.666666666666664"/>
    <n v="1388383200"/>
    <n v="73.733333333333334"/>
    <n v="1389420000"/>
    <b v="0"/>
    <b v="0"/>
    <s v="photography/photography books"/>
    <x v="7"/>
    <x v="14"/>
  </r>
  <r>
    <n v="158"/>
    <s v="Carlson Inc"/>
    <s v="Ergonomic fresh-thinking installation"/>
    <n v="2100"/>
    <n v="4640"/>
    <x v="1"/>
    <n v="41"/>
    <x v="1"/>
    <s v="USD"/>
    <n v="220.95238095238096"/>
    <n v="1449554400"/>
    <n v="113.17073170731707"/>
    <n v="1449640800"/>
    <b v="0"/>
    <b v="0"/>
    <s v="music/rock"/>
    <x v="1"/>
    <x v="1"/>
  </r>
  <r>
    <n v="159"/>
    <s v="Clarke, Anderson and Lee"/>
    <s v="Robust explicit hardware"/>
    <n v="191200"/>
    <n v="191222"/>
    <x v="1"/>
    <n v="1821"/>
    <x v="1"/>
    <s v="USD"/>
    <n v="100.01150627615063"/>
    <n v="1553662800"/>
    <n v="105.00933552992861"/>
    <n v="1555218000"/>
    <b v="0"/>
    <b v="1"/>
    <s v="theater/plays"/>
    <x v="3"/>
    <x v="3"/>
  </r>
  <r>
    <n v="160"/>
    <s v="Evans Group"/>
    <s v="Stand-alone actuating support"/>
    <n v="8000"/>
    <n v="12985"/>
    <x v="1"/>
    <n v="164"/>
    <x v="1"/>
    <s v="USD"/>
    <n v="162.3125"/>
    <n v="1556341200"/>
    <n v="79.176829268292678"/>
    <n v="1557723600"/>
    <b v="0"/>
    <b v="0"/>
    <s v="technology/wearables"/>
    <x v="2"/>
    <x v="8"/>
  </r>
  <r>
    <n v="161"/>
    <s v="Bruce Group"/>
    <s v="Cross-platform methodical process improvement"/>
    <n v="5500"/>
    <n v="4300"/>
    <x v="0"/>
    <n v="75"/>
    <x v="1"/>
    <s v="USD"/>
    <n v="78.181818181818187"/>
    <n v="1442984400"/>
    <n v="57.333333333333336"/>
    <n v="1443502800"/>
    <b v="0"/>
    <b v="1"/>
    <s v="technology/web"/>
    <x v="2"/>
    <x v="2"/>
  </r>
  <r>
    <n v="162"/>
    <s v="Keith, Alvarez and Potter"/>
    <s v="Extended bottom-line open architecture"/>
    <n v="6100"/>
    <n v="9134"/>
    <x v="1"/>
    <n v="157"/>
    <x v="5"/>
    <s v="CHF"/>
    <n v="149.73770491803279"/>
    <n v="1544248800"/>
    <n v="58.178343949044589"/>
    <n v="1546840800"/>
    <b v="0"/>
    <b v="0"/>
    <s v="music/rock"/>
    <x v="1"/>
    <x v="1"/>
  </r>
  <r>
    <n v="163"/>
    <s v="Burton-Watkins"/>
    <s v="Extended reciprocal circuit"/>
    <n v="3500"/>
    <n v="8864"/>
    <x v="1"/>
    <n v="246"/>
    <x v="1"/>
    <s v="USD"/>
    <n v="253.25714285714284"/>
    <n v="1508475600"/>
    <n v="36.032520325203251"/>
    <n v="1512712800"/>
    <b v="0"/>
    <b v="1"/>
    <s v="photography/photography books"/>
    <x v="7"/>
    <x v="14"/>
  </r>
  <r>
    <n v="164"/>
    <s v="Lopez and Sons"/>
    <s v="Polarized human-resource protocol"/>
    <n v="150500"/>
    <n v="150755"/>
    <x v="1"/>
    <n v="1396"/>
    <x v="1"/>
    <s v="USD"/>
    <n v="100.16943521594683"/>
    <n v="1507438800"/>
    <n v="107.99068767908309"/>
    <n v="1507525200"/>
    <b v="0"/>
    <b v="0"/>
    <s v="theater/plays"/>
    <x v="3"/>
    <x v="3"/>
  </r>
  <r>
    <n v="165"/>
    <s v="Cordova Ltd"/>
    <s v="Synergized radical product"/>
    <n v="90400"/>
    <n v="110279"/>
    <x v="1"/>
    <n v="2506"/>
    <x v="1"/>
    <s v="USD"/>
    <n v="121.99004424778761"/>
    <n v="1501563600"/>
    <n v="44.005985634477256"/>
    <n v="1504328400"/>
    <b v="0"/>
    <b v="0"/>
    <s v="technology/web"/>
    <x v="2"/>
    <x v="2"/>
  </r>
  <r>
    <n v="166"/>
    <s v="Brown-Vang"/>
    <s v="Robust heuristic artificial intelligence"/>
    <n v="9800"/>
    <n v="13439"/>
    <x v="1"/>
    <n v="244"/>
    <x v="1"/>
    <s v="USD"/>
    <n v="137.13265306122449"/>
    <n v="1292997600"/>
    <n v="55.077868852459019"/>
    <n v="1293343200"/>
    <b v="0"/>
    <b v="0"/>
    <s v="photography/photography books"/>
    <x v="7"/>
    <x v="14"/>
  </r>
  <r>
    <n v="167"/>
    <s v="Cruz-Ward"/>
    <s v="Robust content-based emulation"/>
    <n v="2600"/>
    <n v="10804"/>
    <x v="1"/>
    <n v="146"/>
    <x v="2"/>
    <s v="AUD"/>
    <n v="415.53846153846149"/>
    <n v="1370840400"/>
    <n v="74"/>
    <n v="1371704400"/>
    <b v="0"/>
    <b v="0"/>
    <s v="theater/plays"/>
    <x v="3"/>
    <x v="3"/>
  </r>
  <r>
    <n v="168"/>
    <s v="Hernandez Group"/>
    <s v="Ergonomic uniform open system"/>
    <n v="128100"/>
    <n v="40107"/>
    <x v="0"/>
    <n v="955"/>
    <x v="3"/>
    <s v="DKK"/>
    <n v="31.30913348946136"/>
    <n v="1550815200"/>
    <n v="41.996858638743454"/>
    <n v="1552798800"/>
    <b v="0"/>
    <b v="1"/>
    <s v="music/indie rock"/>
    <x v="1"/>
    <x v="7"/>
  </r>
  <r>
    <n v="169"/>
    <s v="Tran, Steele and Wilson"/>
    <s v="Profit-focused modular product"/>
    <n v="23300"/>
    <n v="98811"/>
    <x v="1"/>
    <n v="1267"/>
    <x v="1"/>
    <s v="USD"/>
    <n v="424.08154506437768"/>
    <n v="1339909200"/>
    <n v="77.988161010260455"/>
    <n v="1342328400"/>
    <b v="0"/>
    <b v="1"/>
    <s v="film &amp; video/shorts"/>
    <x v="4"/>
    <x v="12"/>
  </r>
  <r>
    <n v="170"/>
    <s v="Summers, Gallegos and Stein"/>
    <s v="Mandatory mobile product"/>
    <n v="188100"/>
    <n v="5528"/>
    <x v="0"/>
    <n v="67"/>
    <x v="1"/>
    <s v="USD"/>
    <n v="2.93886230728336"/>
    <n v="1501736400"/>
    <n v="82.507462686567166"/>
    <n v="1502341200"/>
    <b v="0"/>
    <b v="0"/>
    <s v="music/indie rock"/>
    <x v="1"/>
    <x v="7"/>
  </r>
  <r>
    <n v="171"/>
    <s v="Blair Group"/>
    <s v="Public-key 3rdgeneration budgetary management"/>
    <n v="4900"/>
    <n v="521"/>
    <x v="0"/>
    <n v="5"/>
    <x v="1"/>
    <s v="USD"/>
    <n v="10.63265306122449"/>
    <n v="1395291600"/>
    <n v="104.2"/>
    <n v="1397192400"/>
    <b v="0"/>
    <b v="0"/>
    <s v="publishing/translations"/>
    <x v="5"/>
    <x v="18"/>
  </r>
  <r>
    <n v="172"/>
    <s v="Nixon Inc"/>
    <s v="Centralized national firmware"/>
    <n v="800"/>
    <n v="663"/>
    <x v="0"/>
    <n v="26"/>
    <x v="1"/>
    <s v="USD"/>
    <n v="82.875"/>
    <n v="1405746000"/>
    <n v="25.5"/>
    <n v="1407042000"/>
    <b v="0"/>
    <b v="1"/>
    <s v="film &amp; video/documentary"/>
    <x v="4"/>
    <x v="4"/>
  </r>
  <r>
    <n v="173"/>
    <s v="White LLC"/>
    <s v="Cross-group 4thgeneration middleware"/>
    <n v="96700"/>
    <n v="157635"/>
    <x v="1"/>
    <n v="1561"/>
    <x v="1"/>
    <s v="USD"/>
    <n v="163.01447776628748"/>
    <n v="1368853200"/>
    <n v="100.98334401024984"/>
    <n v="1369371600"/>
    <b v="0"/>
    <b v="0"/>
    <s v="theater/plays"/>
    <x v="3"/>
    <x v="3"/>
  </r>
  <r>
    <n v="174"/>
    <s v="Santos, Black and Donovan"/>
    <s v="Pre-emptive scalable access"/>
    <n v="600"/>
    <n v="5368"/>
    <x v="1"/>
    <n v="48"/>
    <x v="1"/>
    <s v="USD"/>
    <n v="894.66666666666674"/>
    <n v="1444021200"/>
    <n v="111.83333333333333"/>
    <n v="1444107600"/>
    <b v="0"/>
    <b v="1"/>
    <s v="technology/wearables"/>
    <x v="2"/>
    <x v="8"/>
  </r>
  <r>
    <n v="175"/>
    <s v="Jones, Contreras and Burnett"/>
    <s v="Sharable intangible migration"/>
    <n v="181200"/>
    <n v="47459"/>
    <x v="0"/>
    <n v="1130"/>
    <x v="1"/>
    <s v="USD"/>
    <n v="26.191501103752756"/>
    <n v="1472619600"/>
    <n v="41.999115044247787"/>
    <n v="1474261200"/>
    <b v="0"/>
    <b v="0"/>
    <s v="theater/plays"/>
    <x v="3"/>
    <x v="3"/>
  </r>
  <r>
    <n v="176"/>
    <s v="Stone-Orozco"/>
    <s v="Proactive scalable Graphical User Interface"/>
    <n v="115000"/>
    <n v="86060"/>
    <x v="0"/>
    <n v="782"/>
    <x v="1"/>
    <s v="USD"/>
    <n v="74.834782608695647"/>
    <n v="1472878800"/>
    <n v="110.05115089514067"/>
    <n v="1473656400"/>
    <b v="0"/>
    <b v="0"/>
    <s v="theater/plays"/>
    <x v="3"/>
    <x v="3"/>
  </r>
  <r>
    <n v="177"/>
    <s v="Lee, Gibson and Morgan"/>
    <s v="Digitized solution-oriented product"/>
    <n v="38800"/>
    <n v="161593"/>
    <x v="1"/>
    <n v="2739"/>
    <x v="1"/>
    <s v="USD"/>
    <n v="416.47680412371136"/>
    <n v="1289800800"/>
    <n v="58.997079225994888"/>
    <n v="1291960800"/>
    <b v="0"/>
    <b v="0"/>
    <s v="theater/plays"/>
    <x v="3"/>
    <x v="3"/>
  </r>
  <r>
    <n v="178"/>
    <s v="Alexander-Williams"/>
    <s v="Triple-buffered cohesive structure"/>
    <n v="7200"/>
    <n v="6927"/>
    <x v="0"/>
    <n v="210"/>
    <x v="1"/>
    <s v="USD"/>
    <n v="96.208333333333329"/>
    <n v="1505970000"/>
    <n v="32.985714285714288"/>
    <n v="1506747600"/>
    <b v="0"/>
    <b v="0"/>
    <s v="food/food trucks"/>
    <x v="0"/>
    <x v="0"/>
  </r>
  <r>
    <n v="179"/>
    <s v="Marks Ltd"/>
    <s v="Realigned human-resource orchestration"/>
    <n v="44500"/>
    <n v="159185"/>
    <x v="1"/>
    <n v="3537"/>
    <x v="0"/>
    <s v="CAD"/>
    <n v="357.71910112359546"/>
    <n v="1363496400"/>
    <n v="45.005654509471306"/>
    <n v="1363582800"/>
    <b v="0"/>
    <b v="1"/>
    <s v="theater/plays"/>
    <x v="3"/>
    <x v="3"/>
  </r>
  <r>
    <n v="180"/>
    <s v="Olsen, Edwards and Reid"/>
    <s v="Optional clear-thinking software"/>
    <n v="56000"/>
    <n v="172736"/>
    <x v="1"/>
    <n v="2107"/>
    <x v="2"/>
    <s v="AUD"/>
    <n v="308.45714285714286"/>
    <n v="1269234000"/>
    <n v="81.98196487897485"/>
    <n v="1269666000"/>
    <b v="0"/>
    <b v="0"/>
    <s v="technology/wearables"/>
    <x v="2"/>
    <x v="8"/>
  </r>
  <r>
    <n v="181"/>
    <s v="Daniels, Rose and Tyler"/>
    <s v="Centralized global approach"/>
    <n v="8600"/>
    <n v="5315"/>
    <x v="0"/>
    <n v="136"/>
    <x v="1"/>
    <s v="USD"/>
    <n v="61.802325581395344"/>
    <n v="1507093200"/>
    <n v="39.080882352941174"/>
    <n v="1508648400"/>
    <b v="0"/>
    <b v="0"/>
    <s v="technology/web"/>
    <x v="2"/>
    <x v="2"/>
  </r>
  <r>
    <n v="182"/>
    <s v="Adams Group"/>
    <s v="Reverse-engineered bandwidth-monitored contingency"/>
    <n v="27100"/>
    <n v="195750"/>
    <x v="1"/>
    <n v="3318"/>
    <x v="3"/>
    <s v="DKK"/>
    <n v="722.32472324723244"/>
    <n v="1560574800"/>
    <n v="58.996383363471971"/>
    <n v="1561957200"/>
    <b v="0"/>
    <b v="0"/>
    <s v="theater/plays"/>
    <x v="3"/>
    <x v="3"/>
  </r>
  <r>
    <n v="183"/>
    <s v="Rogers, Huerta and Medina"/>
    <s v="Pre-emptive bandwidth-monitored instruction set"/>
    <n v="5100"/>
    <n v="3525"/>
    <x v="0"/>
    <n v="86"/>
    <x v="0"/>
    <s v="CAD"/>
    <n v="69.117647058823522"/>
    <n v="1284008400"/>
    <n v="40.988372093023258"/>
    <n v="1285131600"/>
    <b v="0"/>
    <b v="0"/>
    <s v="music/rock"/>
    <x v="1"/>
    <x v="1"/>
  </r>
  <r>
    <n v="184"/>
    <s v="Howard, Carter and Griffith"/>
    <s v="Adaptive asynchronous emulation"/>
    <n v="3600"/>
    <n v="10550"/>
    <x v="1"/>
    <n v="340"/>
    <x v="1"/>
    <s v="USD"/>
    <n v="293.05555555555554"/>
    <n v="1556859600"/>
    <n v="31.029411764705884"/>
    <n v="1556946000"/>
    <b v="0"/>
    <b v="0"/>
    <s v="theater/plays"/>
    <x v="3"/>
    <x v="3"/>
  </r>
  <r>
    <n v="185"/>
    <s v="Bailey PLC"/>
    <s v="Innovative actuating conglomeration"/>
    <n v="1000"/>
    <n v="718"/>
    <x v="0"/>
    <n v="19"/>
    <x v="1"/>
    <s v="USD"/>
    <n v="71.8"/>
    <n v="1526187600"/>
    <n v="37.789473684210527"/>
    <n v="1527138000"/>
    <b v="0"/>
    <b v="0"/>
    <s v="film &amp; video/television"/>
    <x v="4"/>
    <x v="19"/>
  </r>
  <r>
    <n v="186"/>
    <s v="Parker Group"/>
    <s v="Grass-roots foreground policy"/>
    <n v="88800"/>
    <n v="28358"/>
    <x v="0"/>
    <n v="886"/>
    <x v="1"/>
    <s v="USD"/>
    <n v="31.934684684684683"/>
    <n v="1400821200"/>
    <n v="32.006772009029348"/>
    <n v="1402117200"/>
    <b v="0"/>
    <b v="0"/>
    <s v="theater/plays"/>
    <x v="3"/>
    <x v="3"/>
  </r>
  <r>
    <n v="187"/>
    <s v="Fox Group"/>
    <s v="Horizontal transitional paradigm"/>
    <n v="60200"/>
    <n v="138384"/>
    <x v="1"/>
    <n v="1442"/>
    <x v="0"/>
    <s v="CAD"/>
    <n v="229.87375415282392"/>
    <n v="1361599200"/>
    <n v="95.966712898751737"/>
    <n v="1364014800"/>
    <b v="0"/>
    <b v="1"/>
    <s v="film &amp; video/shorts"/>
    <x v="4"/>
    <x v="12"/>
  </r>
  <r>
    <n v="188"/>
    <s v="Walker, Jones and Rodriguez"/>
    <s v="Networked didactic info-mediaries"/>
    <n v="8200"/>
    <n v="2625"/>
    <x v="0"/>
    <n v="35"/>
    <x v="6"/>
    <s v="EUR"/>
    <n v="32.012195121951223"/>
    <n v="1417500000"/>
    <n v="75"/>
    <n v="1417586400"/>
    <b v="0"/>
    <b v="0"/>
    <s v="theater/plays"/>
    <x v="3"/>
    <x v="3"/>
  </r>
  <r>
    <n v="189"/>
    <s v="Anthony-Shaw"/>
    <s v="Switchable contextually-based access"/>
    <n v="191300"/>
    <n v="45004"/>
    <x v="3"/>
    <n v="441"/>
    <x v="1"/>
    <s v="USD"/>
    <n v="23.525352848928385"/>
    <n v="1457071200"/>
    <n v="102.0498866213152"/>
    <n v="1457071200"/>
    <b v="0"/>
    <b v="0"/>
    <s v="theater/plays"/>
    <x v="3"/>
    <x v="3"/>
  </r>
  <r>
    <n v="190"/>
    <s v="Cook LLC"/>
    <s v="Up-sized dynamic throughput"/>
    <n v="3700"/>
    <n v="2538"/>
    <x v="0"/>
    <n v="24"/>
    <x v="1"/>
    <s v="USD"/>
    <n v="68.594594594594597"/>
    <n v="1370322000"/>
    <n v="105.75"/>
    <n v="1370408400"/>
    <b v="0"/>
    <b v="1"/>
    <s v="theater/plays"/>
    <x v="3"/>
    <x v="3"/>
  </r>
  <r>
    <n v="191"/>
    <s v="Sutton PLC"/>
    <s v="Mandatory reciprocal superstructure"/>
    <n v="8400"/>
    <n v="3188"/>
    <x v="0"/>
    <n v="86"/>
    <x v="6"/>
    <s v="EUR"/>
    <n v="37.952380952380956"/>
    <n v="1552366800"/>
    <n v="37.069767441860463"/>
    <n v="1552626000"/>
    <b v="0"/>
    <b v="0"/>
    <s v="theater/plays"/>
    <x v="3"/>
    <x v="3"/>
  </r>
  <r>
    <n v="192"/>
    <s v="Long, Morgan and Mitchell"/>
    <s v="Upgradable 4thgeneration productivity"/>
    <n v="42600"/>
    <n v="8517"/>
    <x v="0"/>
    <n v="243"/>
    <x v="1"/>
    <s v="USD"/>
    <n v="19.992957746478872"/>
    <n v="1403845200"/>
    <n v="35.049382716049379"/>
    <n v="1404190800"/>
    <b v="0"/>
    <b v="0"/>
    <s v="music/rock"/>
    <x v="1"/>
    <x v="1"/>
  </r>
  <r>
    <n v="193"/>
    <s v="Calhoun, Rogers and Long"/>
    <s v="Progressive discrete hub"/>
    <n v="6600"/>
    <n v="3012"/>
    <x v="0"/>
    <n v="65"/>
    <x v="1"/>
    <s v="USD"/>
    <n v="45.636363636363633"/>
    <n v="1523163600"/>
    <n v="46.338461538461537"/>
    <n v="1523509200"/>
    <b v="1"/>
    <b v="0"/>
    <s v="music/indie rock"/>
    <x v="1"/>
    <x v="7"/>
  </r>
  <r>
    <n v="194"/>
    <s v="Sandoval Group"/>
    <s v="Assimilated multi-tasking archive"/>
    <n v="7100"/>
    <n v="8716"/>
    <x v="1"/>
    <n v="126"/>
    <x v="1"/>
    <s v="USD"/>
    <n v="122.7605633802817"/>
    <n v="1442206800"/>
    <n v="69.174603174603178"/>
    <n v="1443589200"/>
    <b v="0"/>
    <b v="0"/>
    <s v="music/metal"/>
    <x v="1"/>
    <x v="16"/>
  </r>
  <r>
    <n v="195"/>
    <s v="Smith and Sons"/>
    <s v="Upgradable high-level solution"/>
    <n v="15800"/>
    <n v="57157"/>
    <x v="1"/>
    <n v="524"/>
    <x v="1"/>
    <s v="USD"/>
    <n v="361.75316455696202"/>
    <n v="1532840400"/>
    <n v="109.07824427480917"/>
    <n v="1533445200"/>
    <b v="0"/>
    <b v="0"/>
    <s v="music/electric music"/>
    <x v="1"/>
    <x v="5"/>
  </r>
  <r>
    <n v="196"/>
    <s v="King Inc"/>
    <s v="Organic bandwidth-monitored frame"/>
    <n v="8200"/>
    <n v="5178"/>
    <x v="0"/>
    <n v="100"/>
    <x v="3"/>
    <s v="DKK"/>
    <n v="63.146341463414636"/>
    <n v="1472878800"/>
    <n v="51.78"/>
    <n v="1474520400"/>
    <b v="0"/>
    <b v="0"/>
    <s v="technology/wearables"/>
    <x v="2"/>
    <x v="8"/>
  </r>
  <r>
    <n v="197"/>
    <s v="Perry and Sons"/>
    <s v="Business-focused logistical framework"/>
    <n v="54700"/>
    <n v="163118"/>
    <x v="1"/>
    <n v="1989"/>
    <x v="1"/>
    <s v="USD"/>
    <n v="298.20475319926874"/>
    <n v="1498194000"/>
    <n v="82.010055304172951"/>
    <n v="1499403600"/>
    <b v="0"/>
    <b v="0"/>
    <s v="film &amp; video/drama"/>
    <x v="4"/>
    <x v="6"/>
  </r>
  <r>
    <n v="198"/>
    <s v="Palmer Inc"/>
    <s v="Universal multi-state capability"/>
    <n v="63200"/>
    <n v="6041"/>
    <x v="0"/>
    <n v="168"/>
    <x v="1"/>
    <s v="USD"/>
    <n v="9.5585443037974684"/>
    <n v="1281070800"/>
    <n v="35.958333333333336"/>
    <n v="1283576400"/>
    <b v="0"/>
    <b v="0"/>
    <s v="music/electric music"/>
    <x v="1"/>
    <x v="5"/>
  </r>
  <r>
    <n v="199"/>
    <s v="Hull, Baker and Martinez"/>
    <s v="Digitized reciprocal infrastructure"/>
    <n v="1800"/>
    <n v="968"/>
    <x v="0"/>
    <n v="13"/>
    <x v="1"/>
    <s v="USD"/>
    <n v="53.777777777777779"/>
    <n v="1436245200"/>
    <n v="74.461538461538467"/>
    <n v="1436590800"/>
    <b v="0"/>
    <b v="0"/>
    <s v="music/rock"/>
    <x v="1"/>
    <x v="1"/>
  </r>
  <r>
    <n v="200"/>
    <s v="Becker, Rice and White"/>
    <s v="Reduced dedicated capability"/>
    <n v="100"/>
    <n v="2"/>
    <x v="0"/>
    <n v="1"/>
    <x v="0"/>
    <s v="CAD"/>
    <n v="2"/>
    <n v="1269493200"/>
    <n v="2"/>
    <n v="1270443600"/>
    <b v="0"/>
    <b v="0"/>
    <s v="theater/plays"/>
    <x v="3"/>
    <x v="3"/>
  </r>
  <r>
    <n v="201"/>
    <s v="Osborne, Perkins and Knox"/>
    <s v="Cross-platform bi-directional workforce"/>
    <n v="2100"/>
    <n v="14305"/>
    <x v="1"/>
    <n v="157"/>
    <x v="1"/>
    <s v="USD"/>
    <n v="681.19047619047615"/>
    <n v="1406264400"/>
    <n v="91.114649681528661"/>
    <n v="1407819600"/>
    <b v="0"/>
    <b v="0"/>
    <s v="technology/web"/>
    <x v="2"/>
    <x v="2"/>
  </r>
  <r>
    <n v="202"/>
    <s v="Mcknight-Freeman"/>
    <s v="Upgradable scalable methodology"/>
    <n v="8300"/>
    <n v="6543"/>
    <x v="3"/>
    <n v="82"/>
    <x v="1"/>
    <s v="USD"/>
    <n v="78.831325301204828"/>
    <n v="1317531600"/>
    <n v="79.792682926829272"/>
    <n v="1317877200"/>
    <b v="0"/>
    <b v="0"/>
    <s v="food/food trucks"/>
    <x v="0"/>
    <x v="0"/>
  </r>
  <r>
    <n v="203"/>
    <s v="Hayden, Shannon and Stein"/>
    <s v="Customer-focused client-server service-desk"/>
    <n v="143900"/>
    <n v="193413"/>
    <x v="1"/>
    <n v="4498"/>
    <x v="2"/>
    <s v="AUD"/>
    <n v="134.40792216817235"/>
    <n v="1484632800"/>
    <n v="42.999777678968428"/>
    <n v="1484805600"/>
    <b v="0"/>
    <b v="0"/>
    <s v="theater/plays"/>
    <x v="3"/>
    <x v="3"/>
  </r>
  <r>
    <n v="204"/>
    <s v="Daniel-Luna"/>
    <s v="Mandatory multimedia leverage"/>
    <n v="75000"/>
    <n v="2529"/>
    <x v="0"/>
    <n v="40"/>
    <x v="1"/>
    <s v="USD"/>
    <n v="3.3719999999999999"/>
    <n v="1301806800"/>
    <n v="63.225000000000001"/>
    <n v="1302670800"/>
    <b v="0"/>
    <b v="0"/>
    <s v="music/jazz"/>
    <x v="1"/>
    <x v="17"/>
  </r>
  <r>
    <n v="205"/>
    <s v="Weaver-Marquez"/>
    <s v="Focused analyzing circuit"/>
    <n v="1300"/>
    <n v="5614"/>
    <x v="1"/>
    <n v="80"/>
    <x v="1"/>
    <s v="USD"/>
    <n v="431.84615384615387"/>
    <n v="1539752400"/>
    <n v="70.174999999999997"/>
    <n v="1540789200"/>
    <b v="1"/>
    <b v="0"/>
    <s v="theater/plays"/>
    <x v="3"/>
    <x v="3"/>
  </r>
  <r>
    <n v="206"/>
    <s v="Austin, Baker and Kelley"/>
    <s v="Fundamental grid-enabled strategy"/>
    <n v="9000"/>
    <n v="3496"/>
    <x v="3"/>
    <n v="57"/>
    <x v="1"/>
    <s v="USD"/>
    <n v="38.844444444444441"/>
    <n v="1267250400"/>
    <n v="61.333333333333336"/>
    <n v="1268028000"/>
    <b v="0"/>
    <b v="0"/>
    <s v="publishing/fiction"/>
    <x v="5"/>
    <x v="13"/>
  </r>
  <r>
    <n v="207"/>
    <s v="Carney-Anderson"/>
    <s v="Digitized 5thgeneration knowledgebase"/>
    <n v="1000"/>
    <n v="4257"/>
    <x v="1"/>
    <n v="43"/>
    <x v="1"/>
    <s v="USD"/>
    <n v="425.7"/>
    <n v="1535432400"/>
    <n v="99"/>
    <n v="1537160400"/>
    <b v="0"/>
    <b v="1"/>
    <s v="music/rock"/>
    <x v="1"/>
    <x v="1"/>
  </r>
  <r>
    <n v="208"/>
    <s v="Jackson Inc"/>
    <s v="Mandatory multi-tasking encryption"/>
    <n v="196900"/>
    <n v="199110"/>
    <x v="1"/>
    <n v="2053"/>
    <x v="1"/>
    <s v="USD"/>
    <n v="101.12239715591672"/>
    <n v="1510207200"/>
    <n v="96.984900146127615"/>
    <n v="1512280800"/>
    <b v="0"/>
    <b v="0"/>
    <s v="film &amp; video/documentary"/>
    <x v="4"/>
    <x v="4"/>
  </r>
  <r>
    <n v="209"/>
    <s v="Warren Ltd"/>
    <s v="Distributed system-worthy application"/>
    <n v="194500"/>
    <n v="41212"/>
    <x v="2"/>
    <n v="808"/>
    <x v="2"/>
    <s v="AUD"/>
    <n v="21.188688946015425"/>
    <n v="1462510800"/>
    <n v="51.004950495049506"/>
    <n v="1463115600"/>
    <b v="0"/>
    <b v="0"/>
    <s v="film &amp; video/documentary"/>
    <x v="4"/>
    <x v="4"/>
  </r>
  <r>
    <n v="210"/>
    <s v="Schultz Inc"/>
    <s v="Synergistic tertiary time-frame"/>
    <n v="9400"/>
    <n v="6338"/>
    <x v="0"/>
    <n v="226"/>
    <x v="3"/>
    <s v="DKK"/>
    <n v="67.425531914893625"/>
    <n v="1488520800"/>
    <n v="28.044247787610619"/>
    <n v="1490850000"/>
    <b v="0"/>
    <b v="0"/>
    <s v="film &amp; video/science fiction"/>
    <x v="4"/>
    <x v="22"/>
  </r>
  <r>
    <n v="211"/>
    <s v="Thompson LLC"/>
    <s v="Customer-focused impactful benchmark"/>
    <n v="104400"/>
    <n v="99100"/>
    <x v="0"/>
    <n v="1625"/>
    <x v="1"/>
    <s v="USD"/>
    <n v="94.923371647509583"/>
    <n v="1377579600"/>
    <n v="60.984615384615381"/>
    <n v="1379653200"/>
    <b v="0"/>
    <b v="0"/>
    <s v="theater/plays"/>
    <x v="3"/>
    <x v="3"/>
  </r>
  <r>
    <n v="212"/>
    <s v="Johnson Inc"/>
    <s v="Profound next generation infrastructure"/>
    <n v="8100"/>
    <n v="12300"/>
    <x v="1"/>
    <n v="168"/>
    <x v="1"/>
    <s v="USD"/>
    <n v="151.85185185185185"/>
    <n v="1576389600"/>
    <n v="73.214285714285708"/>
    <n v="1580364000"/>
    <b v="0"/>
    <b v="0"/>
    <s v="theater/plays"/>
    <x v="3"/>
    <x v="3"/>
  </r>
  <r>
    <n v="213"/>
    <s v="Morgan-Warren"/>
    <s v="Face-to-face encompassing info-mediaries"/>
    <n v="87900"/>
    <n v="171549"/>
    <x v="1"/>
    <n v="4289"/>
    <x v="1"/>
    <s v="USD"/>
    <n v="195.16382252559728"/>
    <n v="1289019600"/>
    <n v="39.997435299603637"/>
    <n v="1289714400"/>
    <b v="0"/>
    <b v="1"/>
    <s v="music/indie rock"/>
    <x v="1"/>
    <x v="7"/>
  </r>
  <r>
    <n v="214"/>
    <s v="Sullivan Group"/>
    <s v="Open-source fresh-thinking policy"/>
    <n v="1400"/>
    <n v="14324"/>
    <x v="1"/>
    <n v="165"/>
    <x v="1"/>
    <s v="USD"/>
    <n v="1023.1428571428571"/>
    <n v="1282194000"/>
    <n v="86.812121212121212"/>
    <n v="1282712400"/>
    <b v="0"/>
    <b v="0"/>
    <s v="music/rock"/>
    <x v="1"/>
    <x v="1"/>
  </r>
  <r>
    <n v="215"/>
    <s v="Vargas, Banks and Palmer"/>
    <s v="Extended 24/7 implementation"/>
    <n v="156800"/>
    <n v="6024"/>
    <x v="0"/>
    <n v="143"/>
    <x v="1"/>
    <s v="USD"/>
    <n v="3.841836734693878"/>
    <n v="1550037600"/>
    <n v="42.125874125874127"/>
    <n v="1550210400"/>
    <b v="0"/>
    <b v="0"/>
    <s v="theater/plays"/>
    <x v="3"/>
    <x v="3"/>
  </r>
  <r>
    <n v="216"/>
    <s v="Johnson, Dixon and Zimmerman"/>
    <s v="Organic dynamic algorithm"/>
    <n v="121700"/>
    <n v="188721"/>
    <x v="1"/>
    <n v="1815"/>
    <x v="1"/>
    <s v="USD"/>
    <n v="155.07066557107643"/>
    <n v="1321941600"/>
    <n v="103.97851239669421"/>
    <n v="1322114400"/>
    <b v="0"/>
    <b v="0"/>
    <s v="theater/plays"/>
    <x v="3"/>
    <x v="3"/>
  </r>
  <r>
    <n v="217"/>
    <s v="Moore, Dudley and Navarro"/>
    <s v="Organic multi-tasking focus group"/>
    <n v="129400"/>
    <n v="57911"/>
    <x v="0"/>
    <n v="934"/>
    <x v="1"/>
    <s v="USD"/>
    <n v="44.753477588871718"/>
    <n v="1556427600"/>
    <n v="62.003211991434689"/>
    <n v="1557205200"/>
    <b v="0"/>
    <b v="0"/>
    <s v="film &amp; video/science fiction"/>
    <x v="4"/>
    <x v="22"/>
  </r>
  <r>
    <n v="218"/>
    <s v="Price-Rodriguez"/>
    <s v="Adaptive logistical initiative"/>
    <n v="5700"/>
    <n v="12309"/>
    <x v="1"/>
    <n v="397"/>
    <x v="4"/>
    <s v="GBP"/>
    <n v="215.94736842105263"/>
    <n v="1320991200"/>
    <n v="31.005037783375315"/>
    <n v="1323928800"/>
    <b v="0"/>
    <b v="1"/>
    <s v="film &amp; video/shorts"/>
    <x v="4"/>
    <x v="12"/>
  </r>
  <r>
    <n v="219"/>
    <s v="Huang-Henderson"/>
    <s v="Stand-alone mobile customer loyalty"/>
    <n v="41700"/>
    <n v="138497"/>
    <x v="1"/>
    <n v="1539"/>
    <x v="1"/>
    <s v="USD"/>
    <n v="332.12709832134288"/>
    <n v="1345093200"/>
    <n v="89.991552956465242"/>
    <n v="1346130000"/>
    <b v="0"/>
    <b v="0"/>
    <s v="film &amp; video/animation"/>
    <x v="4"/>
    <x v="10"/>
  </r>
  <r>
    <n v="220"/>
    <s v="Owens-Le"/>
    <s v="Focused composite approach"/>
    <n v="7900"/>
    <n v="667"/>
    <x v="0"/>
    <n v="17"/>
    <x v="1"/>
    <s v="USD"/>
    <n v="8.4430379746835449"/>
    <n v="1309496400"/>
    <n v="39.235294117647058"/>
    <n v="1311051600"/>
    <b v="1"/>
    <b v="0"/>
    <s v="theater/plays"/>
    <x v="3"/>
    <x v="3"/>
  </r>
  <r>
    <n v="221"/>
    <s v="Huff LLC"/>
    <s v="Face-to-face clear-thinking Local Area Network"/>
    <n v="121500"/>
    <n v="119830"/>
    <x v="0"/>
    <n v="2179"/>
    <x v="1"/>
    <s v="USD"/>
    <n v="98.625514403292186"/>
    <n v="1340254800"/>
    <n v="54.993116108306566"/>
    <n v="1340427600"/>
    <b v="1"/>
    <b v="0"/>
    <s v="food/food trucks"/>
    <x v="0"/>
    <x v="0"/>
  </r>
  <r>
    <n v="222"/>
    <s v="Johnson LLC"/>
    <s v="Cross-group cohesive circuit"/>
    <n v="4800"/>
    <n v="6623"/>
    <x v="1"/>
    <n v="138"/>
    <x v="1"/>
    <s v="USD"/>
    <n v="137.97916666666669"/>
    <n v="1412226000"/>
    <n v="47.992753623188406"/>
    <n v="1412312400"/>
    <b v="0"/>
    <b v="0"/>
    <s v="photography/photography books"/>
    <x v="7"/>
    <x v="14"/>
  </r>
  <r>
    <n v="223"/>
    <s v="Chavez, Garcia and Cantu"/>
    <s v="Synergistic explicit capability"/>
    <n v="87300"/>
    <n v="81897"/>
    <x v="0"/>
    <n v="931"/>
    <x v="1"/>
    <s v="USD"/>
    <n v="93.81099656357388"/>
    <n v="1458104400"/>
    <n v="87.966702470461868"/>
    <n v="1459314000"/>
    <b v="0"/>
    <b v="0"/>
    <s v="theater/plays"/>
    <x v="3"/>
    <x v="3"/>
  </r>
  <r>
    <n v="224"/>
    <s v="Lester-Moore"/>
    <s v="Diverse analyzing definition"/>
    <n v="46300"/>
    <n v="186885"/>
    <x v="1"/>
    <n v="3594"/>
    <x v="1"/>
    <s v="USD"/>
    <n v="403.63930885529157"/>
    <n v="1411534800"/>
    <n v="51.999165275459099"/>
    <n v="1415426400"/>
    <b v="0"/>
    <b v="0"/>
    <s v="film &amp; video/science fiction"/>
    <x v="4"/>
    <x v="22"/>
  </r>
  <r>
    <n v="225"/>
    <s v="Fox-Quinn"/>
    <s v="Enterprise-wide reciprocal success"/>
    <n v="67800"/>
    <n v="176398"/>
    <x v="1"/>
    <n v="5880"/>
    <x v="1"/>
    <s v="USD"/>
    <n v="260.1740412979351"/>
    <n v="1399093200"/>
    <n v="29.999659863945578"/>
    <n v="1399093200"/>
    <b v="1"/>
    <b v="0"/>
    <s v="music/rock"/>
    <x v="1"/>
    <x v="1"/>
  </r>
  <r>
    <n v="226"/>
    <s v="Garcia Inc"/>
    <s v="Progressive neutral middleware"/>
    <n v="3000"/>
    <n v="10999"/>
    <x v="1"/>
    <n v="112"/>
    <x v="1"/>
    <s v="USD"/>
    <n v="366.63333333333333"/>
    <n v="1270702800"/>
    <n v="98.205357142857139"/>
    <n v="1273899600"/>
    <b v="0"/>
    <b v="0"/>
    <s v="photography/photography books"/>
    <x v="7"/>
    <x v="14"/>
  </r>
  <r>
    <n v="227"/>
    <s v="Johnson-Lee"/>
    <s v="Intuitive exuding process improvement"/>
    <n v="60900"/>
    <n v="102751"/>
    <x v="1"/>
    <n v="943"/>
    <x v="1"/>
    <s v="USD"/>
    <n v="168.72085385878489"/>
    <n v="1431666000"/>
    <n v="108.96182396606575"/>
    <n v="1432184400"/>
    <b v="0"/>
    <b v="0"/>
    <s v="games/mobile games"/>
    <x v="6"/>
    <x v="20"/>
  </r>
  <r>
    <n v="228"/>
    <s v="Pineda Group"/>
    <s v="Exclusive real-time protocol"/>
    <n v="137900"/>
    <n v="165352"/>
    <x v="1"/>
    <n v="2468"/>
    <x v="1"/>
    <s v="USD"/>
    <n v="119.90717911530093"/>
    <n v="1472619600"/>
    <n v="66.998379254457049"/>
    <n v="1474779600"/>
    <b v="0"/>
    <b v="0"/>
    <s v="film &amp; video/animation"/>
    <x v="4"/>
    <x v="10"/>
  </r>
  <r>
    <n v="229"/>
    <s v="Hoffman-Howard"/>
    <s v="Extended encompassing application"/>
    <n v="85600"/>
    <n v="165798"/>
    <x v="1"/>
    <n v="2551"/>
    <x v="1"/>
    <s v="USD"/>
    <n v="193.68925233644859"/>
    <n v="1496293200"/>
    <n v="64.99333594668758"/>
    <n v="1500440400"/>
    <b v="0"/>
    <b v="1"/>
    <s v="games/mobile games"/>
    <x v="6"/>
    <x v="20"/>
  </r>
  <r>
    <n v="230"/>
    <s v="Miranda, Hall and Mcgrath"/>
    <s v="Progressive value-added ability"/>
    <n v="2400"/>
    <n v="10084"/>
    <x v="1"/>
    <n v="101"/>
    <x v="1"/>
    <s v="USD"/>
    <n v="420.16666666666669"/>
    <n v="1575612000"/>
    <n v="99.841584158415841"/>
    <n v="1575612000"/>
    <b v="0"/>
    <b v="0"/>
    <s v="games/video games"/>
    <x v="6"/>
    <x v="11"/>
  </r>
  <r>
    <n v="231"/>
    <s v="Williams, Carter and Gonzalez"/>
    <s v="Cross-platform uniform hardware"/>
    <n v="7200"/>
    <n v="5523"/>
    <x v="3"/>
    <n v="67"/>
    <x v="1"/>
    <s v="USD"/>
    <n v="76.708333333333329"/>
    <n v="1369112400"/>
    <n v="82.432835820895519"/>
    <n v="1374123600"/>
    <b v="0"/>
    <b v="0"/>
    <s v="theater/plays"/>
    <x v="3"/>
    <x v="3"/>
  </r>
  <r>
    <n v="232"/>
    <s v="Davis-Rodriguez"/>
    <s v="Progressive secondary portal"/>
    <n v="3400"/>
    <n v="5823"/>
    <x v="1"/>
    <n v="92"/>
    <x v="1"/>
    <s v="USD"/>
    <n v="171.26470588235293"/>
    <n v="1469422800"/>
    <n v="63.293478260869563"/>
    <n v="1469509200"/>
    <b v="0"/>
    <b v="0"/>
    <s v="theater/plays"/>
    <x v="3"/>
    <x v="3"/>
  </r>
  <r>
    <n v="233"/>
    <s v="Reid, Rivera and Perry"/>
    <s v="Multi-lateral national adapter"/>
    <n v="3800"/>
    <n v="6000"/>
    <x v="1"/>
    <n v="62"/>
    <x v="1"/>
    <s v="USD"/>
    <n v="157.89473684210526"/>
    <n v="1307854800"/>
    <n v="96.774193548387103"/>
    <n v="1309237200"/>
    <b v="0"/>
    <b v="0"/>
    <s v="film &amp; video/animation"/>
    <x v="4"/>
    <x v="10"/>
  </r>
  <r>
    <n v="234"/>
    <s v="Mendoza-Parker"/>
    <s v="Enterprise-wide motivating matrices"/>
    <n v="7500"/>
    <n v="8181"/>
    <x v="1"/>
    <n v="149"/>
    <x v="6"/>
    <s v="EUR"/>
    <n v="109.08"/>
    <n v="1503378000"/>
    <n v="54.906040268456373"/>
    <n v="1503982800"/>
    <b v="0"/>
    <b v="1"/>
    <s v="games/video games"/>
    <x v="6"/>
    <x v="11"/>
  </r>
  <r>
    <n v="235"/>
    <s v="Lee, Ali and Guzman"/>
    <s v="Polarized upward-trending Local Area Network"/>
    <n v="8600"/>
    <n v="3589"/>
    <x v="0"/>
    <n v="92"/>
    <x v="1"/>
    <s v="USD"/>
    <n v="41.732558139534881"/>
    <n v="1486965600"/>
    <n v="39.010869565217391"/>
    <n v="1487397600"/>
    <b v="0"/>
    <b v="0"/>
    <s v="film &amp; video/animation"/>
    <x v="4"/>
    <x v="10"/>
  </r>
  <r>
    <n v="236"/>
    <s v="Gallegos-Cobb"/>
    <s v="Object-based directional function"/>
    <n v="39500"/>
    <n v="4323"/>
    <x v="0"/>
    <n v="57"/>
    <x v="2"/>
    <s v="AUD"/>
    <n v="10.944303797468354"/>
    <n v="1561438800"/>
    <n v="75.84210526315789"/>
    <n v="1562043600"/>
    <b v="0"/>
    <b v="1"/>
    <s v="music/rock"/>
    <x v="1"/>
    <x v="1"/>
  </r>
  <r>
    <n v="237"/>
    <s v="Ellison PLC"/>
    <s v="Re-contextualized tangible open architecture"/>
    <n v="9300"/>
    <n v="14822"/>
    <x v="1"/>
    <n v="329"/>
    <x v="1"/>
    <s v="USD"/>
    <n v="159.3763440860215"/>
    <n v="1398402000"/>
    <n v="45.051671732522799"/>
    <n v="1398574800"/>
    <b v="0"/>
    <b v="0"/>
    <s v="film &amp; video/animation"/>
    <x v="4"/>
    <x v="10"/>
  </r>
  <r>
    <n v="238"/>
    <s v="Bolton, Sanchez and Carrillo"/>
    <s v="Distributed systemic adapter"/>
    <n v="2400"/>
    <n v="10138"/>
    <x v="1"/>
    <n v="97"/>
    <x v="3"/>
    <s v="DKK"/>
    <n v="422.41666666666669"/>
    <n v="1513231200"/>
    <n v="104.51546391752578"/>
    <n v="1515391200"/>
    <b v="0"/>
    <b v="1"/>
    <s v="theater/plays"/>
    <x v="3"/>
    <x v="3"/>
  </r>
  <r>
    <n v="239"/>
    <s v="Mason-Sanders"/>
    <s v="Networked web-enabled instruction set"/>
    <n v="3200"/>
    <n v="3127"/>
    <x v="0"/>
    <n v="41"/>
    <x v="1"/>
    <s v="USD"/>
    <n v="97.71875"/>
    <n v="1440824400"/>
    <n v="76.268292682926827"/>
    <n v="1441170000"/>
    <b v="0"/>
    <b v="0"/>
    <s v="technology/wearables"/>
    <x v="2"/>
    <x v="8"/>
  </r>
  <r>
    <n v="240"/>
    <s v="Pitts-Reed"/>
    <s v="Vision-oriented dynamic service-desk"/>
    <n v="29400"/>
    <n v="123124"/>
    <x v="1"/>
    <n v="1784"/>
    <x v="1"/>
    <s v="USD"/>
    <n v="418.78911564625849"/>
    <n v="1281070800"/>
    <n v="69.015695067264573"/>
    <n v="1281157200"/>
    <b v="0"/>
    <b v="0"/>
    <s v="theater/plays"/>
    <x v="3"/>
    <x v="3"/>
  </r>
  <r>
    <n v="241"/>
    <s v="Gonzalez-Martinez"/>
    <s v="Vision-oriented actuating open system"/>
    <n v="168500"/>
    <n v="171729"/>
    <x v="1"/>
    <n v="1684"/>
    <x v="2"/>
    <s v="AUD"/>
    <n v="101.91632047477745"/>
    <n v="1397365200"/>
    <n v="101.97684085510689"/>
    <n v="1398229200"/>
    <b v="0"/>
    <b v="1"/>
    <s v="publishing/nonfiction"/>
    <x v="5"/>
    <x v="9"/>
  </r>
  <r>
    <n v="242"/>
    <s v="Hill, Martin and Garcia"/>
    <s v="Sharable scalable core"/>
    <n v="8400"/>
    <n v="10729"/>
    <x v="1"/>
    <n v="250"/>
    <x v="1"/>
    <s v="USD"/>
    <n v="127.72619047619047"/>
    <n v="1494392400"/>
    <n v="42.915999999999997"/>
    <n v="1495256400"/>
    <b v="0"/>
    <b v="1"/>
    <s v="music/rock"/>
    <x v="1"/>
    <x v="1"/>
  </r>
  <r>
    <n v="243"/>
    <s v="Garcia PLC"/>
    <s v="Customer-focused attitude-oriented function"/>
    <n v="2300"/>
    <n v="10240"/>
    <x v="1"/>
    <n v="238"/>
    <x v="1"/>
    <s v="USD"/>
    <n v="445.21739130434781"/>
    <n v="1520143200"/>
    <n v="43.025210084033617"/>
    <n v="1520402400"/>
    <b v="0"/>
    <b v="0"/>
    <s v="theater/plays"/>
    <x v="3"/>
    <x v="3"/>
  </r>
  <r>
    <n v="244"/>
    <s v="Herring-Bailey"/>
    <s v="Reverse-engineered system-worthy extranet"/>
    <n v="700"/>
    <n v="3988"/>
    <x v="1"/>
    <n v="53"/>
    <x v="1"/>
    <s v="USD"/>
    <n v="569.71428571428578"/>
    <n v="1405314000"/>
    <n v="75.245283018867923"/>
    <n v="1409806800"/>
    <b v="0"/>
    <b v="0"/>
    <s v="theater/plays"/>
    <x v="3"/>
    <x v="3"/>
  </r>
  <r>
    <n v="245"/>
    <s v="Russell-Gardner"/>
    <s v="Re-engineered systematic monitoring"/>
    <n v="2900"/>
    <n v="14771"/>
    <x v="1"/>
    <n v="214"/>
    <x v="1"/>
    <s v="USD"/>
    <n v="509.34482758620686"/>
    <n v="1396846800"/>
    <n v="69.023364485981304"/>
    <n v="1396933200"/>
    <b v="0"/>
    <b v="0"/>
    <s v="theater/plays"/>
    <x v="3"/>
    <x v="3"/>
  </r>
  <r>
    <n v="246"/>
    <s v="Walters-Carter"/>
    <s v="Seamless value-added standardization"/>
    <n v="4500"/>
    <n v="14649"/>
    <x v="1"/>
    <n v="222"/>
    <x v="1"/>
    <s v="USD"/>
    <n v="325.5333333333333"/>
    <n v="1375678800"/>
    <n v="65.986486486486484"/>
    <n v="1376024400"/>
    <b v="0"/>
    <b v="0"/>
    <s v="technology/web"/>
    <x v="2"/>
    <x v="2"/>
  </r>
  <r>
    <n v="247"/>
    <s v="Johnson, Patterson and Montoya"/>
    <s v="Triple-buffered fresh-thinking frame"/>
    <n v="19800"/>
    <n v="184658"/>
    <x v="1"/>
    <n v="1884"/>
    <x v="1"/>
    <s v="USD"/>
    <n v="932.61616161616166"/>
    <n v="1482386400"/>
    <n v="98.013800424628457"/>
    <n v="1483682400"/>
    <b v="0"/>
    <b v="1"/>
    <s v="publishing/fiction"/>
    <x v="5"/>
    <x v="13"/>
  </r>
  <r>
    <n v="248"/>
    <s v="Roberts and Sons"/>
    <s v="Streamlined holistic knowledgebase"/>
    <n v="6200"/>
    <n v="13103"/>
    <x v="1"/>
    <n v="218"/>
    <x v="2"/>
    <s v="AUD"/>
    <n v="211.33870967741933"/>
    <n v="1420005600"/>
    <n v="60.105504587155963"/>
    <n v="1420437600"/>
    <b v="0"/>
    <b v="0"/>
    <s v="games/mobile games"/>
    <x v="6"/>
    <x v="20"/>
  </r>
  <r>
    <n v="249"/>
    <s v="Avila-Nelson"/>
    <s v="Up-sized intermediate website"/>
    <n v="61500"/>
    <n v="168095"/>
    <x v="1"/>
    <n v="6465"/>
    <x v="1"/>
    <s v="USD"/>
    <n v="273.32520325203251"/>
    <n v="1420178400"/>
    <n v="26.000773395204948"/>
    <n v="1420783200"/>
    <b v="0"/>
    <b v="0"/>
    <s v="publishing/translations"/>
    <x v="5"/>
    <x v="18"/>
  </r>
  <r>
    <n v="250"/>
    <s v="Robbins and Sons"/>
    <s v="Future-proofed directional synergy"/>
    <n v="100"/>
    <n v="3"/>
    <x v="0"/>
    <n v="1"/>
    <x v="1"/>
    <s v="USD"/>
    <n v="3"/>
    <n v="1264399200"/>
    <n v="3"/>
    <n v="1267423200"/>
    <b v="0"/>
    <b v="0"/>
    <s v="music/rock"/>
    <x v="1"/>
    <x v="1"/>
  </r>
  <r>
    <n v="251"/>
    <s v="Singleton Ltd"/>
    <s v="Enhanced user-facing function"/>
    <n v="7100"/>
    <n v="3840"/>
    <x v="0"/>
    <n v="101"/>
    <x v="1"/>
    <s v="USD"/>
    <n v="54.084507042253513"/>
    <n v="1355032800"/>
    <n v="38.019801980198018"/>
    <n v="1355205600"/>
    <b v="0"/>
    <b v="0"/>
    <s v="theater/plays"/>
    <x v="3"/>
    <x v="3"/>
  </r>
  <r>
    <n v="252"/>
    <s v="Perez PLC"/>
    <s v="Operative bandwidth-monitored interface"/>
    <n v="1000"/>
    <n v="6263"/>
    <x v="1"/>
    <n v="59"/>
    <x v="1"/>
    <s v="USD"/>
    <n v="626.29999999999995"/>
    <n v="1382677200"/>
    <n v="106.15254237288136"/>
    <n v="1383109200"/>
    <b v="0"/>
    <b v="0"/>
    <s v="theater/plays"/>
    <x v="3"/>
    <x v="3"/>
  </r>
  <r>
    <n v="253"/>
    <s v="Rogers, Jacobs and Jackson"/>
    <s v="Upgradable multi-state instruction set"/>
    <n v="121500"/>
    <n v="108161"/>
    <x v="0"/>
    <n v="1335"/>
    <x v="0"/>
    <s v="CAD"/>
    <n v="89.021399176954731"/>
    <n v="1302238800"/>
    <n v="81.019475655430711"/>
    <n v="1303275600"/>
    <b v="0"/>
    <b v="0"/>
    <s v="film &amp; video/drama"/>
    <x v="4"/>
    <x v="6"/>
  </r>
  <r>
    <n v="254"/>
    <s v="Barry Group"/>
    <s v="De-engineered static Local Area Network"/>
    <n v="4600"/>
    <n v="8505"/>
    <x v="1"/>
    <n v="88"/>
    <x v="1"/>
    <s v="USD"/>
    <n v="184.89130434782609"/>
    <n v="1487656800"/>
    <n v="96.647727272727266"/>
    <n v="1487829600"/>
    <b v="0"/>
    <b v="0"/>
    <s v="publishing/nonfiction"/>
    <x v="5"/>
    <x v="9"/>
  </r>
  <r>
    <n v="255"/>
    <s v="Rosales, Branch and Harmon"/>
    <s v="Upgradable grid-enabled superstructure"/>
    <n v="80500"/>
    <n v="96735"/>
    <x v="1"/>
    <n v="1697"/>
    <x v="1"/>
    <s v="USD"/>
    <n v="120.16770186335404"/>
    <n v="1297836000"/>
    <n v="57.003535651149086"/>
    <n v="1298268000"/>
    <b v="0"/>
    <b v="1"/>
    <s v="music/rock"/>
    <x v="1"/>
    <x v="1"/>
  </r>
  <r>
    <n v="256"/>
    <s v="Smith-Reid"/>
    <s v="Optimized actuating toolset"/>
    <n v="4100"/>
    <n v="959"/>
    <x v="0"/>
    <n v="15"/>
    <x v="4"/>
    <s v="GBP"/>
    <n v="23.390243902439025"/>
    <n v="1453615200"/>
    <n v="63.93333333333333"/>
    <n v="1456812000"/>
    <b v="0"/>
    <b v="0"/>
    <s v="music/rock"/>
    <x v="1"/>
    <x v="1"/>
  </r>
  <r>
    <n v="257"/>
    <s v="Williams Inc"/>
    <s v="Decentralized exuding strategy"/>
    <n v="5700"/>
    <n v="8322"/>
    <x v="1"/>
    <n v="92"/>
    <x v="1"/>
    <s v="USD"/>
    <n v="146"/>
    <n v="1362463200"/>
    <n v="90.456521739130437"/>
    <n v="1363669200"/>
    <b v="0"/>
    <b v="0"/>
    <s v="theater/plays"/>
    <x v="3"/>
    <x v="3"/>
  </r>
  <r>
    <n v="258"/>
    <s v="Duncan, Mcdonald and Miller"/>
    <s v="Assimilated coherent hardware"/>
    <n v="5000"/>
    <n v="13424"/>
    <x v="1"/>
    <n v="186"/>
    <x v="1"/>
    <s v="USD"/>
    <n v="268.48"/>
    <n v="1481176800"/>
    <n v="72.172043010752688"/>
    <n v="1482904800"/>
    <b v="0"/>
    <b v="1"/>
    <s v="theater/plays"/>
    <x v="3"/>
    <x v="3"/>
  </r>
  <r>
    <n v="259"/>
    <s v="Watkins Ltd"/>
    <s v="Multi-channeled responsive implementation"/>
    <n v="1800"/>
    <n v="10755"/>
    <x v="1"/>
    <n v="138"/>
    <x v="1"/>
    <s v="USD"/>
    <n v="597.5"/>
    <n v="1354946400"/>
    <n v="77.934782608695656"/>
    <n v="1356588000"/>
    <b v="1"/>
    <b v="0"/>
    <s v="photography/photography books"/>
    <x v="7"/>
    <x v="14"/>
  </r>
  <r>
    <n v="260"/>
    <s v="Allen-Jones"/>
    <s v="Centralized modular initiative"/>
    <n v="6300"/>
    <n v="9935"/>
    <x v="1"/>
    <n v="261"/>
    <x v="1"/>
    <s v="USD"/>
    <n v="157.69841269841268"/>
    <n v="1348808400"/>
    <n v="38.065134099616856"/>
    <n v="1349845200"/>
    <b v="0"/>
    <b v="0"/>
    <s v="music/rock"/>
    <x v="1"/>
    <x v="1"/>
  </r>
  <r>
    <n v="261"/>
    <s v="Mason-Smith"/>
    <s v="Reverse-engineered cohesive migration"/>
    <n v="84300"/>
    <n v="26303"/>
    <x v="0"/>
    <n v="454"/>
    <x v="1"/>
    <s v="USD"/>
    <n v="31.201660735468568"/>
    <n v="1282712400"/>
    <n v="57.936123348017624"/>
    <n v="1283058000"/>
    <b v="0"/>
    <b v="1"/>
    <s v="music/rock"/>
    <x v="1"/>
    <x v="1"/>
  </r>
  <r>
    <n v="262"/>
    <s v="Lloyd, Kennedy and Davis"/>
    <s v="Compatible multimedia hub"/>
    <n v="1700"/>
    <n v="5328"/>
    <x v="1"/>
    <n v="107"/>
    <x v="1"/>
    <s v="USD"/>
    <n v="313.41176470588238"/>
    <n v="1301979600"/>
    <n v="49.794392523364486"/>
    <n v="1304226000"/>
    <b v="0"/>
    <b v="1"/>
    <s v="music/indie rock"/>
    <x v="1"/>
    <x v="7"/>
  </r>
  <r>
    <n v="263"/>
    <s v="Walker Ltd"/>
    <s v="Organic eco-centric success"/>
    <n v="2900"/>
    <n v="10756"/>
    <x v="1"/>
    <n v="199"/>
    <x v="1"/>
    <s v="USD"/>
    <n v="370.89655172413791"/>
    <n v="1263016800"/>
    <n v="54.050251256281406"/>
    <n v="1263016800"/>
    <b v="0"/>
    <b v="0"/>
    <s v="photography/photography books"/>
    <x v="7"/>
    <x v="14"/>
  </r>
  <r>
    <n v="264"/>
    <s v="Gordon PLC"/>
    <s v="Virtual reciprocal policy"/>
    <n v="45600"/>
    <n v="165375"/>
    <x v="1"/>
    <n v="5512"/>
    <x v="1"/>
    <s v="USD"/>
    <n v="362.66447368421052"/>
    <n v="1360648800"/>
    <n v="30.002721335268504"/>
    <n v="1362031200"/>
    <b v="0"/>
    <b v="0"/>
    <s v="theater/plays"/>
    <x v="3"/>
    <x v="3"/>
  </r>
  <r>
    <n v="265"/>
    <s v="Lee and Sons"/>
    <s v="Persevering interactive emulation"/>
    <n v="4900"/>
    <n v="6031"/>
    <x v="1"/>
    <n v="86"/>
    <x v="1"/>
    <s v="USD"/>
    <n v="123.08163265306122"/>
    <n v="1451800800"/>
    <n v="70.127906976744185"/>
    <n v="1455602400"/>
    <b v="0"/>
    <b v="0"/>
    <s v="theater/plays"/>
    <x v="3"/>
    <x v="3"/>
  </r>
  <r>
    <n v="266"/>
    <s v="Cole LLC"/>
    <s v="Proactive responsive emulation"/>
    <n v="111900"/>
    <n v="85902"/>
    <x v="0"/>
    <n v="3182"/>
    <x v="6"/>
    <s v="EUR"/>
    <n v="76.766756032171585"/>
    <n v="1415340000"/>
    <n v="26.996228786926462"/>
    <n v="1418191200"/>
    <b v="0"/>
    <b v="1"/>
    <s v="music/jazz"/>
    <x v="1"/>
    <x v="17"/>
  </r>
  <r>
    <n v="267"/>
    <s v="Acosta PLC"/>
    <s v="Extended eco-centric function"/>
    <n v="61600"/>
    <n v="143910"/>
    <x v="1"/>
    <n v="2768"/>
    <x v="2"/>
    <s v="AUD"/>
    <n v="233.62012987012989"/>
    <n v="1351054800"/>
    <n v="51.990606936416185"/>
    <n v="1352440800"/>
    <b v="0"/>
    <b v="0"/>
    <s v="theater/plays"/>
    <x v="3"/>
    <x v="3"/>
  </r>
  <r>
    <n v="268"/>
    <s v="Brown-Mckee"/>
    <s v="Networked optimal productivity"/>
    <n v="1500"/>
    <n v="2708"/>
    <x v="1"/>
    <n v="48"/>
    <x v="1"/>
    <s v="USD"/>
    <n v="180.53333333333333"/>
    <n v="1349326800"/>
    <n v="56.416666666666664"/>
    <n v="1353304800"/>
    <b v="0"/>
    <b v="0"/>
    <s v="film &amp; video/documentary"/>
    <x v="4"/>
    <x v="4"/>
  </r>
  <r>
    <n v="269"/>
    <s v="Miles and Sons"/>
    <s v="Persistent attitude-oriented approach"/>
    <n v="3500"/>
    <n v="8842"/>
    <x v="1"/>
    <n v="87"/>
    <x v="1"/>
    <s v="USD"/>
    <n v="252.62857142857143"/>
    <n v="1548914400"/>
    <n v="101.63218390804597"/>
    <n v="1550728800"/>
    <b v="0"/>
    <b v="0"/>
    <s v="film &amp; video/television"/>
    <x v="4"/>
    <x v="19"/>
  </r>
  <r>
    <n v="270"/>
    <s v="Sawyer, Horton and Williams"/>
    <s v="Triple-buffered 4thgeneration toolset"/>
    <n v="173900"/>
    <n v="47260"/>
    <x v="3"/>
    <n v="1890"/>
    <x v="1"/>
    <s v="USD"/>
    <n v="27.176538240368025"/>
    <n v="1291269600"/>
    <n v="25.005291005291006"/>
    <n v="1291442400"/>
    <b v="0"/>
    <b v="0"/>
    <s v="games/video games"/>
    <x v="6"/>
    <x v="11"/>
  </r>
  <r>
    <n v="271"/>
    <s v="Foley-Cox"/>
    <s v="Progressive zero administration leverage"/>
    <n v="153700"/>
    <n v="1953"/>
    <x v="2"/>
    <n v="61"/>
    <x v="1"/>
    <s v="USD"/>
    <n v="1.2706571242680547"/>
    <n v="1449468000"/>
    <n v="32.016393442622949"/>
    <n v="1452146400"/>
    <b v="0"/>
    <b v="0"/>
    <s v="photography/photography books"/>
    <x v="7"/>
    <x v="14"/>
  </r>
  <r>
    <n v="272"/>
    <s v="Horton, Morrison and Clark"/>
    <s v="Networked radical neural-net"/>
    <n v="51100"/>
    <n v="155349"/>
    <x v="1"/>
    <n v="1894"/>
    <x v="1"/>
    <s v="USD"/>
    <n v="304.0097847358121"/>
    <n v="1562734800"/>
    <n v="82.021647307286173"/>
    <n v="1564894800"/>
    <b v="0"/>
    <b v="1"/>
    <s v="theater/plays"/>
    <x v="3"/>
    <x v="3"/>
  </r>
  <r>
    <n v="273"/>
    <s v="Thomas and Sons"/>
    <s v="Re-engineered heuristic forecast"/>
    <n v="7800"/>
    <n v="10704"/>
    <x v="1"/>
    <n v="282"/>
    <x v="0"/>
    <s v="CAD"/>
    <n v="137.23076923076923"/>
    <n v="1505624400"/>
    <n v="37.957446808510639"/>
    <n v="1505883600"/>
    <b v="0"/>
    <b v="0"/>
    <s v="theater/plays"/>
    <x v="3"/>
    <x v="3"/>
  </r>
  <r>
    <n v="274"/>
    <s v="Morgan-Jenkins"/>
    <s v="Fully-configurable background algorithm"/>
    <n v="2400"/>
    <n v="773"/>
    <x v="0"/>
    <n v="15"/>
    <x v="1"/>
    <s v="USD"/>
    <n v="32.208333333333336"/>
    <n v="1509948000"/>
    <n v="51.533333333333331"/>
    <n v="1510380000"/>
    <b v="0"/>
    <b v="0"/>
    <s v="theater/plays"/>
    <x v="3"/>
    <x v="3"/>
  </r>
  <r>
    <n v="275"/>
    <s v="Ward, Sanchez and Kemp"/>
    <s v="Stand-alone discrete Graphical User Interface"/>
    <n v="3900"/>
    <n v="9419"/>
    <x v="1"/>
    <n v="116"/>
    <x v="1"/>
    <s v="USD"/>
    <n v="241.51282051282053"/>
    <n v="1554526800"/>
    <n v="81.198275862068968"/>
    <n v="1555218000"/>
    <b v="0"/>
    <b v="0"/>
    <s v="publishing/translations"/>
    <x v="5"/>
    <x v="18"/>
  </r>
  <r>
    <n v="276"/>
    <s v="Fields Ltd"/>
    <s v="Front-line foreground project"/>
    <n v="5500"/>
    <n v="5324"/>
    <x v="0"/>
    <n v="133"/>
    <x v="1"/>
    <s v="USD"/>
    <n v="96.8"/>
    <n v="1334811600"/>
    <n v="40.030075187969928"/>
    <n v="1335243600"/>
    <b v="0"/>
    <b v="1"/>
    <s v="games/video games"/>
    <x v="6"/>
    <x v="11"/>
  </r>
  <r>
    <n v="277"/>
    <s v="Ramos-Mitchell"/>
    <s v="Persevering system-worthy info-mediaries"/>
    <n v="700"/>
    <n v="7465"/>
    <x v="1"/>
    <n v="83"/>
    <x v="1"/>
    <s v="USD"/>
    <n v="1066.4285714285716"/>
    <n v="1279515600"/>
    <n v="89.939759036144579"/>
    <n v="1279688400"/>
    <b v="0"/>
    <b v="0"/>
    <s v="theater/plays"/>
    <x v="3"/>
    <x v="3"/>
  </r>
  <r>
    <n v="278"/>
    <s v="Higgins, Davis and Salazar"/>
    <s v="Distributed multi-tasking strategy"/>
    <n v="2700"/>
    <n v="8799"/>
    <x v="1"/>
    <n v="91"/>
    <x v="1"/>
    <s v="USD"/>
    <n v="325.88888888888891"/>
    <n v="1353909600"/>
    <n v="96.692307692307693"/>
    <n v="1356069600"/>
    <b v="0"/>
    <b v="0"/>
    <s v="technology/web"/>
    <x v="2"/>
    <x v="2"/>
  </r>
  <r>
    <n v="279"/>
    <s v="Smith-Jenkins"/>
    <s v="Vision-oriented methodical application"/>
    <n v="8000"/>
    <n v="13656"/>
    <x v="1"/>
    <n v="546"/>
    <x v="1"/>
    <s v="USD"/>
    <n v="170.70000000000002"/>
    <n v="1535950800"/>
    <n v="25.010989010989011"/>
    <n v="1536210000"/>
    <b v="0"/>
    <b v="0"/>
    <s v="theater/plays"/>
    <x v="3"/>
    <x v="3"/>
  </r>
  <r>
    <n v="280"/>
    <s v="Braun PLC"/>
    <s v="Function-based high-level infrastructure"/>
    <n v="2500"/>
    <n v="14536"/>
    <x v="1"/>
    <n v="393"/>
    <x v="1"/>
    <s v="USD"/>
    <n v="581.44000000000005"/>
    <n v="1511244000"/>
    <n v="36.987277353689571"/>
    <n v="1511762400"/>
    <b v="0"/>
    <b v="0"/>
    <s v="film &amp; video/animation"/>
    <x v="4"/>
    <x v="10"/>
  </r>
  <r>
    <n v="281"/>
    <s v="Drake PLC"/>
    <s v="Profound object-oriented paradigm"/>
    <n v="164500"/>
    <n v="150552"/>
    <x v="0"/>
    <n v="2062"/>
    <x v="1"/>
    <s v="USD"/>
    <n v="91.520972644376897"/>
    <n v="1331445600"/>
    <n v="73.012609117361791"/>
    <n v="1333256400"/>
    <b v="0"/>
    <b v="1"/>
    <s v="theater/plays"/>
    <x v="3"/>
    <x v="3"/>
  </r>
  <r>
    <n v="282"/>
    <s v="Ross, Kelly and Brown"/>
    <s v="Virtual contextually-based circuit"/>
    <n v="8400"/>
    <n v="9076"/>
    <x v="1"/>
    <n v="133"/>
    <x v="1"/>
    <s v="USD"/>
    <n v="108.04761904761904"/>
    <n v="1480226400"/>
    <n v="68.240601503759393"/>
    <n v="1480744800"/>
    <b v="0"/>
    <b v="1"/>
    <s v="film &amp; video/television"/>
    <x v="4"/>
    <x v="19"/>
  </r>
  <r>
    <n v="283"/>
    <s v="Lucas-Mullins"/>
    <s v="Business-focused dynamic instruction set"/>
    <n v="8100"/>
    <n v="1517"/>
    <x v="0"/>
    <n v="29"/>
    <x v="3"/>
    <s v="DKK"/>
    <n v="18.728395061728396"/>
    <n v="1464584400"/>
    <n v="52.310344827586206"/>
    <n v="1465016400"/>
    <b v="0"/>
    <b v="0"/>
    <s v="music/rock"/>
    <x v="1"/>
    <x v="1"/>
  </r>
  <r>
    <n v="284"/>
    <s v="Tran LLC"/>
    <s v="Ameliorated fresh-thinking protocol"/>
    <n v="9800"/>
    <n v="8153"/>
    <x v="0"/>
    <n v="132"/>
    <x v="1"/>
    <s v="USD"/>
    <n v="83.193877551020407"/>
    <n v="1335848400"/>
    <n v="61.765151515151516"/>
    <n v="1336280400"/>
    <b v="0"/>
    <b v="0"/>
    <s v="technology/web"/>
    <x v="2"/>
    <x v="2"/>
  </r>
  <r>
    <n v="285"/>
    <s v="Dawson, Brady and Gilbert"/>
    <s v="Front-line optimizing emulation"/>
    <n v="900"/>
    <n v="6357"/>
    <x v="1"/>
    <n v="254"/>
    <x v="1"/>
    <s v="USD"/>
    <n v="706.33333333333337"/>
    <n v="1473483600"/>
    <n v="25.027559055118111"/>
    <n v="1476766800"/>
    <b v="0"/>
    <b v="0"/>
    <s v="theater/plays"/>
    <x v="3"/>
    <x v="3"/>
  </r>
  <r>
    <n v="286"/>
    <s v="Obrien-Aguirre"/>
    <s v="Devolved uniform complexity"/>
    <n v="112100"/>
    <n v="19557"/>
    <x v="3"/>
    <n v="184"/>
    <x v="1"/>
    <s v="USD"/>
    <n v="17.446030330062445"/>
    <n v="1479880800"/>
    <n v="106.28804347826087"/>
    <n v="1480485600"/>
    <b v="0"/>
    <b v="0"/>
    <s v="theater/plays"/>
    <x v="3"/>
    <x v="3"/>
  </r>
  <r>
    <n v="287"/>
    <s v="Ferguson PLC"/>
    <s v="Public-key intangible superstructure"/>
    <n v="6300"/>
    <n v="13213"/>
    <x v="1"/>
    <n v="176"/>
    <x v="1"/>
    <s v="USD"/>
    <n v="209.73015873015873"/>
    <n v="1430197200"/>
    <n v="75.07386363636364"/>
    <n v="1430197200"/>
    <b v="0"/>
    <b v="0"/>
    <s v="music/electric music"/>
    <x v="1"/>
    <x v="5"/>
  </r>
  <r>
    <n v="288"/>
    <s v="Garcia Ltd"/>
    <s v="Secured global success"/>
    <n v="5600"/>
    <n v="5476"/>
    <x v="0"/>
    <n v="137"/>
    <x v="3"/>
    <s v="DKK"/>
    <n v="97.785714285714292"/>
    <n v="1331701200"/>
    <n v="39.970802919708028"/>
    <n v="1331787600"/>
    <b v="0"/>
    <b v="1"/>
    <s v="music/metal"/>
    <x v="1"/>
    <x v="16"/>
  </r>
  <r>
    <n v="289"/>
    <s v="Smith, Love and Smith"/>
    <s v="Grass-roots mission-critical capability"/>
    <n v="800"/>
    <n v="13474"/>
    <x v="1"/>
    <n v="337"/>
    <x v="0"/>
    <s v="CAD"/>
    <n v="1684.25"/>
    <n v="1438578000"/>
    <n v="39.982195845697326"/>
    <n v="1438837200"/>
    <b v="0"/>
    <b v="0"/>
    <s v="theater/plays"/>
    <x v="3"/>
    <x v="3"/>
  </r>
  <r>
    <n v="290"/>
    <s v="Wilson, Hall and Osborne"/>
    <s v="Advanced global data-warehouse"/>
    <n v="168600"/>
    <n v="91722"/>
    <x v="0"/>
    <n v="908"/>
    <x v="1"/>
    <s v="USD"/>
    <n v="54.402135231316727"/>
    <n v="1368162000"/>
    <n v="101.01541850220265"/>
    <n v="1370926800"/>
    <b v="0"/>
    <b v="1"/>
    <s v="film &amp; video/documentary"/>
    <x v="4"/>
    <x v="4"/>
  </r>
  <r>
    <n v="291"/>
    <s v="Bell, Grimes and Kerr"/>
    <s v="Self-enabling uniform complexity"/>
    <n v="1800"/>
    <n v="8219"/>
    <x v="1"/>
    <n v="107"/>
    <x v="1"/>
    <s v="USD"/>
    <n v="456.61111111111109"/>
    <n v="1318654800"/>
    <n v="76.813084112149539"/>
    <n v="1319000400"/>
    <b v="1"/>
    <b v="0"/>
    <s v="technology/web"/>
    <x v="2"/>
    <x v="2"/>
  </r>
  <r>
    <n v="292"/>
    <s v="Ho-Harris"/>
    <s v="Versatile cohesive encoding"/>
    <n v="7300"/>
    <n v="717"/>
    <x v="0"/>
    <n v="10"/>
    <x v="1"/>
    <s v="USD"/>
    <n v="9.8219178082191778"/>
    <n v="1331874000"/>
    <n v="71.7"/>
    <n v="1333429200"/>
    <b v="0"/>
    <b v="0"/>
    <s v="food/food trucks"/>
    <x v="0"/>
    <x v="0"/>
  </r>
  <r>
    <n v="293"/>
    <s v="Ross Group"/>
    <s v="Organized executive solution"/>
    <n v="6500"/>
    <n v="1065"/>
    <x v="3"/>
    <n v="32"/>
    <x v="6"/>
    <s v="EUR"/>
    <n v="16.384615384615383"/>
    <n v="1286254800"/>
    <n v="33.28125"/>
    <n v="1287032400"/>
    <b v="0"/>
    <b v="0"/>
    <s v="theater/plays"/>
    <x v="3"/>
    <x v="3"/>
  </r>
  <r>
    <n v="294"/>
    <s v="Turner-Davis"/>
    <s v="Automated local emulation"/>
    <n v="600"/>
    <n v="8038"/>
    <x v="1"/>
    <n v="183"/>
    <x v="1"/>
    <s v="USD"/>
    <n v="1339.6666666666667"/>
    <n v="1540530000"/>
    <n v="43.923497267759565"/>
    <n v="1541570400"/>
    <b v="0"/>
    <b v="0"/>
    <s v="theater/plays"/>
    <x v="3"/>
    <x v="3"/>
  </r>
  <r>
    <n v="295"/>
    <s v="Smith, Jackson and Herrera"/>
    <s v="Enterprise-wide intermediate middleware"/>
    <n v="192900"/>
    <n v="68769"/>
    <x v="0"/>
    <n v="1910"/>
    <x v="5"/>
    <s v="CHF"/>
    <n v="35.650077760497666"/>
    <n v="1381813200"/>
    <n v="36.004712041884815"/>
    <n v="1383976800"/>
    <b v="0"/>
    <b v="0"/>
    <s v="theater/plays"/>
    <x v="3"/>
    <x v="3"/>
  </r>
  <r>
    <n v="296"/>
    <s v="Smith-Hess"/>
    <s v="Grass-roots real-time Local Area Network"/>
    <n v="6100"/>
    <n v="3352"/>
    <x v="0"/>
    <n v="38"/>
    <x v="2"/>
    <s v="AUD"/>
    <n v="54.950819672131146"/>
    <n v="1548655200"/>
    <n v="88.21052631578948"/>
    <n v="1550556000"/>
    <b v="0"/>
    <b v="0"/>
    <s v="theater/plays"/>
    <x v="3"/>
    <x v="3"/>
  </r>
  <r>
    <n v="297"/>
    <s v="Brown, Herring and Bass"/>
    <s v="Organized client-driven capacity"/>
    <n v="7200"/>
    <n v="6785"/>
    <x v="0"/>
    <n v="104"/>
    <x v="2"/>
    <s v="AUD"/>
    <n v="94.236111111111114"/>
    <n v="1389679200"/>
    <n v="65.240384615384613"/>
    <n v="1390456800"/>
    <b v="0"/>
    <b v="1"/>
    <s v="theater/plays"/>
    <x v="3"/>
    <x v="3"/>
  </r>
  <r>
    <n v="298"/>
    <s v="Chase, Garcia and Johnson"/>
    <s v="Adaptive intangible database"/>
    <n v="3500"/>
    <n v="5037"/>
    <x v="1"/>
    <n v="72"/>
    <x v="1"/>
    <s v="USD"/>
    <n v="143.91428571428571"/>
    <n v="1456466400"/>
    <n v="69.958333333333329"/>
    <n v="1458018000"/>
    <b v="0"/>
    <b v="1"/>
    <s v="music/rock"/>
    <x v="1"/>
    <x v="1"/>
  </r>
  <r>
    <n v="299"/>
    <s v="Ramsey and Sons"/>
    <s v="Grass-roots contextually-based algorithm"/>
    <n v="3800"/>
    <n v="1954"/>
    <x v="0"/>
    <n v="49"/>
    <x v="1"/>
    <s v="USD"/>
    <n v="51.421052631578945"/>
    <n v="1456984800"/>
    <n v="39.877551020408163"/>
    <n v="1461819600"/>
    <b v="0"/>
    <b v="0"/>
    <s v="food/food trucks"/>
    <x v="0"/>
    <x v="0"/>
  </r>
  <r>
    <n v="300"/>
    <s v="Cooke PLC"/>
    <s v="Focused executive core"/>
    <n v="100"/>
    <n v="5"/>
    <x v="0"/>
    <n v="1"/>
    <x v="3"/>
    <s v="DKK"/>
    <n v="5"/>
    <n v="1504069200"/>
    <n v="5"/>
    <n v="1504155600"/>
    <b v="0"/>
    <b v="1"/>
    <s v="publishing/nonfiction"/>
    <x v="5"/>
    <x v="9"/>
  </r>
  <r>
    <n v="301"/>
    <s v="Wong-Walker"/>
    <s v="Multi-channeled disintermediate policy"/>
    <n v="900"/>
    <n v="12102"/>
    <x v="1"/>
    <n v="295"/>
    <x v="1"/>
    <s v="USD"/>
    <n v="1344.6666666666667"/>
    <n v="1424930400"/>
    <n v="41.023728813559323"/>
    <n v="1426395600"/>
    <b v="0"/>
    <b v="0"/>
    <s v="film &amp; video/documentary"/>
    <x v="4"/>
    <x v="4"/>
  </r>
  <r>
    <n v="302"/>
    <s v="Ferguson, Collins and Mata"/>
    <s v="Customizable bi-directional hardware"/>
    <n v="76100"/>
    <n v="24234"/>
    <x v="0"/>
    <n v="245"/>
    <x v="1"/>
    <s v="USD"/>
    <n v="31.844940867279899"/>
    <n v="1535864400"/>
    <n v="98.914285714285711"/>
    <n v="1537074000"/>
    <b v="0"/>
    <b v="0"/>
    <s v="theater/plays"/>
    <x v="3"/>
    <x v="3"/>
  </r>
  <r>
    <n v="303"/>
    <s v="Guerrero, Flores and Jenkins"/>
    <s v="Networked optimal architecture"/>
    <n v="3400"/>
    <n v="2809"/>
    <x v="0"/>
    <n v="32"/>
    <x v="1"/>
    <s v="USD"/>
    <n v="82.617647058823536"/>
    <n v="1452146400"/>
    <n v="87.78125"/>
    <n v="1452578400"/>
    <b v="0"/>
    <b v="0"/>
    <s v="music/indie rock"/>
    <x v="1"/>
    <x v="7"/>
  </r>
  <r>
    <n v="304"/>
    <s v="Peterson PLC"/>
    <s v="User-friendly discrete benchmark"/>
    <n v="2100"/>
    <n v="11469"/>
    <x v="1"/>
    <n v="142"/>
    <x v="1"/>
    <s v="USD"/>
    <n v="546.14285714285722"/>
    <n v="1470546000"/>
    <n v="80.767605633802816"/>
    <n v="1474088400"/>
    <b v="0"/>
    <b v="0"/>
    <s v="film &amp; video/documentary"/>
    <x v="4"/>
    <x v="4"/>
  </r>
  <r>
    <n v="305"/>
    <s v="Townsend Ltd"/>
    <s v="Grass-roots actuating policy"/>
    <n v="2800"/>
    <n v="8014"/>
    <x v="1"/>
    <n v="85"/>
    <x v="1"/>
    <s v="USD"/>
    <n v="286.21428571428572"/>
    <n v="1458363600"/>
    <n v="94.28235294117647"/>
    <n v="1461906000"/>
    <b v="0"/>
    <b v="0"/>
    <s v="theater/plays"/>
    <x v="3"/>
    <x v="3"/>
  </r>
  <r>
    <n v="306"/>
    <s v="Rush, Reed and Hall"/>
    <s v="Enterprise-wide 3rdgeneration knowledge user"/>
    <n v="6500"/>
    <n v="514"/>
    <x v="0"/>
    <n v="7"/>
    <x v="1"/>
    <s v="USD"/>
    <n v="7.9076923076923071"/>
    <n v="1500008400"/>
    <n v="73.428571428571431"/>
    <n v="1500267600"/>
    <b v="0"/>
    <b v="1"/>
    <s v="theater/plays"/>
    <x v="3"/>
    <x v="3"/>
  </r>
  <r>
    <n v="307"/>
    <s v="Salazar-Dodson"/>
    <s v="Face-to-face zero tolerance moderator"/>
    <n v="32900"/>
    <n v="43473"/>
    <x v="1"/>
    <n v="659"/>
    <x v="3"/>
    <s v="DKK"/>
    <n v="132.13677811550153"/>
    <n v="1338958800"/>
    <n v="65.968133535660087"/>
    <n v="1340686800"/>
    <b v="0"/>
    <b v="1"/>
    <s v="publishing/fiction"/>
    <x v="5"/>
    <x v="13"/>
  </r>
  <r>
    <n v="308"/>
    <s v="Davis Ltd"/>
    <s v="Grass-roots optimizing projection"/>
    <n v="118200"/>
    <n v="87560"/>
    <x v="0"/>
    <n v="803"/>
    <x v="1"/>
    <s v="USD"/>
    <n v="74.077834179357026"/>
    <n v="1303102800"/>
    <n v="109.04109589041096"/>
    <n v="1303189200"/>
    <b v="0"/>
    <b v="0"/>
    <s v="theater/plays"/>
    <x v="3"/>
    <x v="3"/>
  </r>
  <r>
    <n v="309"/>
    <s v="Harris-Perry"/>
    <s v="User-centric 6thgeneration attitude"/>
    <n v="4100"/>
    <n v="3087"/>
    <x v="3"/>
    <n v="75"/>
    <x v="1"/>
    <s v="USD"/>
    <n v="75.292682926829272"/>
    <n v="1316581200"/>
    <n v="41.16"/>
    <n v="1318309200"/>
    <b v="0"/>
    <b v="1"/>
    <s v="music/indie rock"/>
    <x v="1"/>
    <x v="7"/>
  </r>
  <r>
    <n v="310"/>
    <s v="Velazquez, Hunt and Ortiz"/>
    <s v="Switchable zero tolerance website"/>
    <n v="7800"/>
    <n v="1586"/>
    <x v="0"/>
    <n v="16"/>
    <x v="1"/>
    <s v="USD"/>
    <n v="20.333333333333332"/>
    <n v="1270789200"/>
    <n v="99.125"/>
    <n v="1272171600"/>
    <b v="0"/>
    <b v="0"/>
    <s v="games/video games"/>
    <x v="6"/>
    <x v="11"/>
  </r>
  <r>
    <n v="311"/>
    <s v="Flores PLC"/>
    <s v="Focused real-time help-desk"/>
    <n v="6300"/>
    <n v="12812"/>
    <x v="1"/>
    <n v="121"/>
    <x v="1"/>
    <s v="USD"/>
    <n v="203.36507936507937"/>
    <n v="1297836000"/>
    <n v="105.88429752066116"/>
    <n v="1298872800"/>
    <b v="0"/>
    <b v="0"/>
    <s v="theater/plays"/>
    <x v="3"/>
    <x v="3"/>
  </r>
  <r>
    <n v="312"/>
    <s v="Martinez LLC"/>
    <s v="Robust impactful approach"/>
    <n v="59100"/>
    <n v="183345"/>
    <x v="1"/>
    <n v="3742"/>
    <x v="1"/>
    <s v="USD"/>
    <n v="310.2284263959391"/>
    <n v="1382677200"/>
    <n v="48.996525921966864"/>
    <n v="1383282000"/>
    <b v="0"/>
    <b v="0"/>
    <s v="theater/plays"/>
    <x v="3"/>
    <x v="3"/>
  </r>
  <r>
    <n v="313"/>
    <s v="Miller-Irwin"/>
    <s v="Secured maximized policy"/>
    <n v="2200"/>
    <n v="8697"/>
    <x v="1"/>
    <n v="223"/>
    <x v="1"/>
    <s v="USD"/>
    <n v="395.31818181818181"/>
    <n v="1330322400"/>
    <n v="39"/>
    <n v="1330495200"/>
    <b v="0"/>
    <b v="0"/>
    <s v="music/rock"/>
    <x v="1"/>
    <x v="1"/>
  </r>
  <r>
    <n v="314"/>
    <s v="Sanchez-Morgan"/>
    <s v="Realigned upward-trending strategy"/>
    <n v="1400"/>
    <n v="4126"/>
    <x v="1"/>
    <n v="133"/>
    <x v="1"/>
    <s v="USD"/>
    <n v="294.71428571428572"/>
    <n v="1552366800"/>
    <n v="31.022556390977442"/>
    <n v="1552798800"/>
    <b v="0"/>
    <b v="1"/>
    <s v="film &amp; video/documentary"/>
    <x v="4"/>
    <x v="4"/>
  </r>
  <r>
    <n v="315"/>
    <s v="Lopez, Adams and Johnson"/>
    <s v="Open-source interactive knowledge user"/>
    <n v="9500"/>
    <n v="3220"/>
    <x v="0"/>
    <n v="31"/>
    <x v="1"/>
    <s v="USD"/>
    <n v="33.89473684210526"/>
    <n v="1400907600"/>
    <n v="103.87096774193549"/>
    <n v="1403413200"/>
    <b v="0"/>
    <b v="0"/>
    <s v="theater/plays"/>
    <x v="3"/>
    <x v="3"/>
  </r>
  <r>
    <n v="316"/>
    <s v="Martin-Marshall"/>
    <s v="Configurable demand-driven matrix"/>
    <n v="9600"/>
    <n v="6401"/>
    <x v="0"/>
    <n v="108"/>
    <x v="6"/>
    <s v="EUR"/>
    <n v="66.677083333333329"/>
    <n v="1574143200"/>
    <n v="59.268518518518519"/>
    <n v="1574229600"/>
    <b v="0"/>
    <b v="1"/>
    <s v="food/food trucks"/>
    <x v="0"/>
    <x v="0"/>
  </r>
  <r>
    <n v="317"/>
    <s v="Summers PLC"/>
    <s v="Cross-group coherent hierarchy"/>
    <n v="6600"/>
    <n v="1269"/>
    <x v="0"/>
    <n v="30"/>
    <x v="1"/>
    <s v="USD"/>
    <n v="19.227272727272727"/>
    <n v="1494738000"/>
    <n v="42.3"/>
    <n v="1495861200"/>
    <b v="0"/>
    <b v="0"/>
    <s v="theater/plays"/>
    <x v="3"/>
    <x v="3"/>
  </r>
  <r>
    <n v="318"/>
    <s v="Young, Hart and Ryan"/>
    <s v="Decentralized demand-driven open system"/>
    <n v="5700"/>
    <n v="903"/>
    <x v="0"/>
    <n v="17"/>
    <x v="1"/>
    <s v="USD"/>
    <n v="15.842105263157894"/>
    <n v="1392357600"/>
    <n v="53.117647058823529"/>
    <n v="1392530400"/>
    <b v="0"/>
    <b v="0"/>
    <s v="music/rock"/>
    <x v="1"/>
    <x v="1"/>
  </r>
  <r>
    <n v="319"/>
    <s v="Mills Group"/>
    <s v="Advanced empowering matrix"/>
    <n v="8400"/>
    <n v="3251"/>
    <x v="3"/>
    <n v="64"/>
    <x v="1"/>
    <s v="USD"/>
    <n v="38.702380952380956"/>
    <n v="1281589200"/>
    <n v="50.796875"/>
    <n v="1283662800"/>
    <b v="0"/>
    <b v="0"/>
    <s v="technology/web"/>
    <x v="2"/>
    <x v="2"/>
  </r>
  <r>
    <n v="320"/>
    <s v="Sandoval-Powell"/>
    <s v="Phased holistic implementation"/>
    <n v="84400"/>
    <n v="8092"/>
    <x v="0"/>
    <n v="80"/>
    <x v="1"/>
    <s v="USD"/>
    <n v="9.5876777251184837"/>
    <n v="1305003600"/>
    <n v="101.15"/>
    <n v="1305781200"/>
    <b v="0"/>
    <b v="0"/>
    <s v="publishing/fiction"/>
    <x v="5"/>
    <x v="13"/>
  </r>
  <r>
    <n v="321"/>
    <s v="Mills, Frazier and Perez"/>
    <s v="Proactive attitude-oriented knowledge user"/>
    <n v="170400"/>
    <n v="160422"/>
    <x v="0"/>
    <n v="2468"/>
    <x v="1"/>
    <s v="USD"/>
    <n v="94.144366197183089"/>
    <n v="1301634000"/>
    <n v="65.000810372771468"/>
    <n v="1302325200"/>
    <b v="0"/>
    <b v="0"/>
    <s v="film &amp; video/shorts"/>
    <x v="4"/>
    <x v="12"/>
  </r>
  <r>
    <n v="322"/>
    <s v="Hebert Group"/>
    <s v="Visionary asymmetric Graphical User Interface"/>
    <n v="117900"/>
    <n v="196377"/>
    <x v="1"/>
    <n v="5168"/>
    <x v="1"/>
    <s v="USD"/>
    <n v="166.56234096692114"/>
    <n v="1290664800"/>
    <n v="37.998645510835914"/>
    <n v="1291788000"/>
    <b v="0"/>
    <b v="0"/>
    <s v="theater/plays"/>
    <x v="3"/>
    <x v="3"/>
  </r>
  <r>
    <n v="323"/>
    <s v="Cole, Smith and Wood"/>
    <s v="Integrated zero-defect help-desk"/>
    <n v="8900"/>
    <n v="2148"/>
    <x v="0"/>
    <n v="26"/>
    <x v="4"/>
    <s v="GBP"/>
    <n v="24.134831460674157"/>
    <n v="1395896400"/>
    <n v="82.615384615384613"/>
    <n v="1396069200"/>
    <b v="0"/>
    <b v="0"/>
    <s v="film &amp; video/documentary"/>
    <x v="4"/>
    <x v="4"/>
  </r>
  <r>
    <n v="324"/>
    <s v="Harris, Hall and Harris"/>
    <s v="Inverse analyzing matrices"/>
    <n v="7100"/>
    <n v="11648"/>
    <x v="1"/>
    <n v="307"/>
    <x v="1"/>
    <s v="USD"/>
    <n v="164.05633802816902"/>
    <n v="1434862800"/>
    <n v="37.941368078175898"/>
    <n v="1435899600"/>
    <b v="0"/>
    <b v="1"/>
    <s v="theater/plays"/>
    <x v="3"/>
    <x v="3"/>
  </r>
  <r>
    <n v="325"/>
    <s v="Saunders Group"/>
    <s v="Programmable systemic implementation"/>
    <n v="6500"/>
    <n v="5897"/>
    <x v="0"/>
    <n v="73"/>
    <x v="1"/>
    <s v="USD"/>
    <n v="90.723076923076931"/>
    <n v="1529125200"/>
    <n v="80.780821917808225"/>
    <n v="1531112400"/>
    <b v="0"/>
    <b v="1"/>
    <s v="theater/plays"/>
    <x v="3"/>
    <x v="3"/>
  </r>
  <r>
    <n v="326"/>
    <s v="Pham, Avila and Nash"/>
    <s v="Multi-channeled next generation architecture"/>
    <n v="7200"/>
    <n v="3326"/>
    <x v="0"/>
    <n v="128"/>
    <x v="1"/>
    <s v="USD"/>
    <n v="46.194444444444443"/>
    <n v="1451109600"/>
    <n v="25.984375"/>
    <n v="1451628000"/>
    <b v="0"/>
    <b v="0"/>
    <s v="film &amp; video/animation"/>
    <x v="4"/>
    <x v="10"/>
  </r>
  <r>
    <n v="327"/>
    <s v="Patterson, Salinas and Lucas"/>
    <s v="Digitized 3rdgeneration encoding"/>
    <n v="2600"/>
    <n v="1002"/>
    <x v="0"/>
    <n v="33"/>
    <x v="1"/>
    <s v="USD"/>
    <n v="38.53846153846154"/>
    <n v="1566968400"/>
    <n v="30.363636363636363"/>
    <n v="1567314000"/>
    <b v="0"/>
    <b v="1"/>
    <s v="theater/plays"/>
    <x v="3"/>
    <x v="3"/>
  </r>
  <r>
    <n v="328"/>
    <s v="Young PLC"/>
    <s v="Innovative well-modulated functionalities"/>
    <n v="98700"/>
    <n v="131826"/>
    <x v="1"/>
    <n v="2441"/>
    <x v="1"/>
    <s v="USD"/>
    <n v="133.56231003039514"/>
    <n v="1543557600"/>
    <n v="54.004916018025398"/>
    <n v="1544508000"/>
    <b v="0"/>
    <b v="0"/>
    <s v="music/rock"/>
    <x v="1"/>
    <x v="1"/>
  </r>
  <r>
    <n v="329"/>
    <s v="Willis and Sons"/>
    <s v="Fundamental incremental database"/>
    <n v="93800"/>
    <n v="21477"/>
    <x v="2"/>
    <n v="211"/>
    <x v="1"/>
    <s v="USD"/>
    <n v="22.896588486140725"/>
    <n v="1481522400"/>
    <n v="101.78672985781991"/>
    <n v="1482472800"/>
    <b v="0"/>
    <b v="0"/>
    <s v="games/video games"/>
    <x v="6"/>
    <x v="11"/>
  </r>
  <r>
    <n v="330"/>
    <s v="Thompson-Bates"/>
    <s v="Expanded encompassing open architecture"/>
    <n v="33700"/>
    <n v="62330"/>
    <x v="1"/>
    <n v="1385"/>
    <x v="4"/>
    <s v="GBP"/>
    <n v="184.95548961424333"/>
    <n v="1512712800"/>
    <n v="45.003610108303249"/>
    <n v="1512799200"/>
    <b v="0"/>
    <b v="0"/>
    <s v="film &amp; video/documentary"/>
    <x v="4"/>
    <x v="4"/>
  </r>
  <r>
    <n v="331"/>
    <s v="Rose-Silva"/>
    <s v="Intuitive static portal"/>
    <n v="3300"/>
    <n v="14643"/>
    <x v="1"/>
    <n v="190"/>
    <x v="1"/>
    <s v="USD"/>
    <n v="443.72727272727275"/>
    <n v="1324274400"/>
    <n v="77.068421052631578"/>
    <n v="1324360800"/>
    <b v="0"/>
    <b v="0"/>
    <s v="food/food trucks"/>
    <x v="0"/>
    <x v="0"/>
  </r>
  <r>
    <n v="332"/>
    <s v="Pacheco, Johnson and Torres"/>
    <s v="Optional bandwidth-monitored definition"/>
    <n v="20700"/>
    <n v="41396"/>
    <x v="1"/>
    <n v="470"/>
    <x v="1"/>
    <s v="USD"/>
    <n v="199.9806763285024"/>
    <n v="1364446800"/>
    <n v="88.076595744680844"/>
    <n v="1364533200"/>
    <b v="0"/>
    <b v="0"/>
    <s v="technology/wearables"/>
    <x v="2"/>
    <x v="8"/>
  </r>
  <r>
    <n v="333"/>
    <s v="Carlson, Dixon and Jones"/>
    <s v="Persistent well-modulated synergy"/>
    <n v="9600"/>
    <n v="11900"/>
    <x v="1"/>
    <n v="253"/>
    <x v="1"/>
    <s v="USD"/>
    <n v="123.95833333333333"/>
    <n v="1542693600"/>
    <n v="47.035573122529641"/>
    <n v="1545112800"/>
    <b v="0"/>
    <b v="0"/>
    <s v="theater/plays"/>
    <x v="3"/>
    <x v="3"/>
  </r>
  <r>
    <n v="334"/>
    <s v="Mcgee Group"/>
    <s v="Assimilated discrete algorithm"/>
    <n v="66200"/>
    <n v="123538"/>
    <x v="1"/>
    <n v="1113"/>
    <x v="1"/>
    <s v="USD"/>
    <n v="186.61329305135951"/>
    <n v="1515564000"/>
    <n v="110.99550763701707"/>
    <n v="1516168800"/>
    <b v="0"/>
    <b v="0"/>
    <s v="music/rock"/>
    <x v="1"/>
    <x v="1"/>
  </r>
  <r>
    <n v="335"/>
    <s v="Jordan-Acosta"/>
    <s v="Operative uniform hub"/>
    <n v="173800"/>
    <n v="198628"/>
    <x v="1"/>
    <n v="2283"/>
    <x v="1"/>
    <s v="USD"/>
    <n v="114.28538550057536"/>
    <n v="1573797600"/>
    <n v="87.003066141042481"/>
    <n v="1574920800"/>
    <b v="0"/>
    <b v="0"/>
    <s v="music/rock"/>
    <x v="1"/>
    <x v="1"/>
  </r>
  <r>
    <n v="336"/>
    <s v="Nunez Inc"/>
    <s v="Customizable intangible capability"/>
    <n v="70700"/>
    <n v="68602"/>
    <x v="0"/>
    <n v="1072"/>
    <x v="1"/>
    <s v="USD"/>
    <n v="97.032531824611041"/>
    <n v="1292392800"/>
    <n v="63.994402985074629"/>
    <n v="1292479200"/>
    <b v="0"/>
    <b v="1"/>
    <s v="music/rock"/>
    <x v="1"/>
    <x v="1"/>
  </r>
  <r>
    <n v="337"/>
    <s v="Hayden Ltd"/>
    <s v="Innovative didactic analyzer"/>
    <n v="94500"/>
    <n v="116064"/>
    <x v="1"/>
    <n v="1095"/>
    <x v="1"/>
    <s v="USD"/>
    <n v="122.81904761904762"/>
    <n v="1573452000"/>
    <n v="105.9945205479452"/>
    <n v="1573538400"/>
    <b v="0"/>
    <b v="0"/>
    <s v="theater/plays"/>
    <x v="3"/>
    <x v="3"/>
  </r>
  <r>
    <n v="338"/>
    <s v="Gonzalez-Burton"/>
    <s v="Decentralized intangible encoding"/>
    <n v="69800"/>
    <n v="125042"/>
    <x v="1"/>
    <n v="1690"/>
    <x v="1"/>
    <s v="USD"/>
    <n v="179.14326647564468"/>
    <n v="1317790800"/>
    <n v="73.989349112426041"/>
    <n v="1320382800"/>
    <b v="0"/>
    <b v="0"/>
    <s v="theater/plays"/>
    <x v="3"/>
    <x v="3"/>
  </r>
  <r>
    <n v="339"/>
    <s v="Lewis, Taylor and Rivers"/>
    <s v="Front-line transitional algorithm"/>
    <n v="136300"/>
    <n v="108974"/>
    <x v="3"/>
    <n v="1297"/>
    <x v="0"/>
    <s v="CAD"/>
    <n v="79.951577402787962"/>
    <n v="1501650000"/>
    <n v="84.02004626060139"/>
    <n v="1502859600"/>
    <b v="0"/>
    <b v="0"/>
    <s v="theater/plays"/>
    <x v="3"/>
    <x v="3"/>
  </r>
  <r>
    <n v="340"/>
    <s v="Butler, Henry and Espinoza"/>
    <s v="Switchable didactic matrices"/>
    <n v="37100"/>
    <n v="34964"/>
    <x v="0"/>
    <n v="393"/>
    <x v="1"/>
    <s v="USD"/>
    <n v="94.242587601078171"/>
    <n v="1323669600"/>
    <n v="88.966921119592882"/>
    <n v="1323756000"/>
    <b v="0"/>
    <b v="0"/>
    <s v="photography/photography books"/>
    <x v="7"/>
    <x v="14"/>
  </r>
  <r>
    <n v="341"/>
    <s v="Guzman Group"/>
    <s v="Ameliorated disintermediate utilization"/>
    <n v="114300"/>
    <n v="96777"/>
    <x v="0"/>
    <n v="1257"/>
    <x v="1"/>
    <s v="USD"/>
    <n v="84.669291338582681"/>
    <n v="1440738000"/>
    <n v="76.990453460620529"/>
    <n v="1441342800"/>
    <b v="0"/>
    <b v="0"/>
    <s v="music/indie rock"/>
    <x v="1"/>
    <x v="7"/>
  </r>
  <r>
    <n v="342"/>
    <s v="Gibson-Hernandez"/>
    <s v="Visionary foreground middleware"/>
    <n v="47900"/>
    <n v="31864"/>
    <x v="0"/>
    <n v="328"/>
    <x v="1"/>
    <s v="USD"/>
    <n v="66.521920668058456"/>
    <n v="1374296400"/>
    <n v="97.146341463414629"/>
    <n v="1375333200"/>
    <b v="0"/>
    <b v="0"/>
    <s v="theater/plays"/>
    <x v="3"/>
    <x v="3"/>
  </r>
  <r>
    <n v="343"/>
    <s v="Spencer-Weber"/>
    <s v="Optional zero-defect task-force"/>
    <n v="9000"/>
    <n v="4853"/>
    <x v="0"/>
    <n v="147"/>
    <x v="1"/>
    <s v="USD"/>
    <n v="53.922222222222224"/>
    <n v="1384840800"/>
    <n v="33.013605442176868"/>
    <n v="1389420000"/>
    <b v="0"/>
    <b v="0"/>
    <s v="theater/plays"/>
    <x v="3"/>
    <x v="3"/>
  </r>
  <r>
    <n v="344"/>
    <s v="Berger, Johnson and Marshall"/>
    <s v="Devolved exuding emulation"/>
    <n v="197600"/>
    <n v="82959"/>
    <x v="0"/>
    <n v="830"/>
    <x v="1"/>
    <s v="USD"/>
    <n v="41.983299595141702"/>
    <n v="1516600800"/>
    <n v="99.950602409638549"/>
    <n v="1520056800"/>
    <b v="0"/>
    <b v="0"/>
    <s v="games/video games"/>
    <x v="6"/>
    <x v="11"/>
  </r>
  <r>
    <n v="345"/>
    <s v="Taylor, Cisneros and Romero"/>
    <s v="Open-source neutral task-force"/>
    <n v="157600"/>
    <n v="23159"/>
    <x v="0"/>
    <n v="331"/>
    <x v="4"/>
    <s v="GBP"/>
    <n v="14.69479695431472"/>
    <n v="1436418000"/>
    <n v="69.966767371601208"/>
    <n v="1436504400"/>
    <b v="0"/>
    <b v="0"/>
    <s v="film &amp; video/drama"/>
    <x v="4"/>
    <x v="6"/>
  </r>
  <r>
    <n v="346"/>
    <s v="Little-Marsh"/>
    <s v="Virtual attitude-oriented migration"/>
    <n v="8000"/>
    <n v="2758"/>
    <x v="0"/>
    <n v="25"/>
    <x v="1"/>
    <s v="USD"/>
    <n v="34.475000000000001"/>
    <n v="1503550800"/>
    <n v="110.32"/>
    <n v="1508302800"/>
    <b v="0"/>
    <b v="1"/>
    <s v="music/indie rock"/>
    <x v="1"/>
    <x v="7"/>
  </r>
  <r>
    <n v="347"/>
    <s v="Petersen and Sons"/>
    <s v="Open-source full-range portal"/>
    <n v="900"/>
    <n v="12607"/>
    <x v="1"/>
    <n v="191"/>
    <x v="1"/>
    <s v="USD"/>
    <n v="1400.7777777777778"/>
    <n v="1423634400"/>
    <n v="66.005235602094245"/>
    <n v="1425708000"/>
    <b v="0"/>
    <b v="0"/>
    <s v="technology/web"/>
    <x v="2"/>
    <x v="2"/>
  </r>
  <r>
    <n v="348"/>
    <s v="Hensley Ltd"/>
    <s v="Versatile cohesive open system"/>
    <n v="199000"/>
    <n v="142823"/>
    <x v="0"/>
    <n v="3483"/>
    <x v="1"/>
    <s v="USD"/>
    <n v="71.770351758793964"/>
    <n v="1487224800"/>
    <n v="41.005742176284812"/>
    <n v="1488348000"/>
    <b v="0"/>
    <b v="0"/>
    <s v="food/food trucks"/>
    <x v="0"/>
    <x v="0"/>
  </r>
  <r>
    <n v="349"/>
    <s v="Navarro and Sons"/>
    <s v="Multi-layered bottom-line frame"/>
    <n v="180800"/>
    <n v="95958"/>
    <x v="0"/>
    <n v="923"/>
    <x v="1"/>
    <s v="USD"/>
    <n v="53.074115044247783"/>
    <n v="1500008400"/>
    <n v="103.96316359696641"/>
    <n v="1502600400"/>
    <b v="0"/>
    <b v="0"/>
    <s v="theater/plays"/>
    <x v="3"/>
    <x v="3"/>
  </r>
  <r>
    <n v="350"/>
    <s v="Shannon Ltd"/>
    <s v="Pre-emptive neutral capacity"/>
    <n v="100"/>
    <n v="5"/>
    <x v="0"/>
    <n v="1"/>
    <x v="1"/>
    <s v="USD"/>
    <n v="5"/>
    <n v="1432098000"/>
    <n v="5"/>
    <n v="1433653200"/>
    <b v="0"/>
    <b v="1"/>
    <s v="music/jazz"/>
    <x v="1"/>
    <x v="17"/>
  </r>
  <r>
    <n v="351"/>
    <s v="Young LLC"/>
    <s v="Universal maximized methodology"/>
    <n v="74100"/>
    <n v="94631"/>
    <x v="1"/>
    <n v="2013"/>
    <x v="1"/>
    <s v="USD"/>
    <n v="127.70715249662618"/>
    <n v="1440392400"/>
    <n v="47.009935419771487"/>
    <n v="1441602000"/>
    <b v="0"/>
    <b v="0"/>
    <s v="music/rock"/>
    <x v="1"/>
    <x v="1"/>
  </r>
  <r>
    <n v="352"/>
    <s v="Adams, Willis and Sanchez"/>
    <s v="Expanded hybrid hardware"/>
    <n v="2800"/>
    <n v="977"/>
    <x v="0"/>
    <n v="33"/>
    <x v="0"/>
    <s v="CAD"/>
    <n v="34.892857142857139"/>
    <n v="1446876000"/>
    <n v="29.606060606060606"/>
    <n v="1447567200"/>
    <b v="0"/>
    <b v="0"/>
    <s v="theater/plays"/>
    <x v="3"/>
    <x v="3"/>
  </r>
  <r>
    <n v="353"/>
    <s v="Mills-Roy"/>
    <s v="Profit-focused multi-tasking access"/>
    <n v="33600"/>
    <n v="137961"/>
    <x v="1"/>
    <n v="1703"/>
    <x v="1"/>
    <s v="USD"/>
    <n v="410.59821428571428"/>
    <n v="1562302800"/>
    <n v="81.010569583088667"/>
    <n v="1562389200"/>
    <b v="0"/>
    <b v="0"/>
    <s v="theater/plays"/>
    <x v="3"/>
    <x v="3"/>
  </r>
  <r>
    <n v="354"/>
    <s v="Brown Group"/>
    <s v="Profit-focused transitional capability"/>
    <n v="6100"/>
    <n v="7548"/>
    <x v="1"/>
    <n v="80"/>
    <x v="3"/>
    <s v="DKK"/>
    <n v="123.73770491803278"/>
    <n v="1378184400"/>
    <n v="94.35"/>
    <n v="1378789200"/>
    <b v="0"/>
    <b v="0"/>
    <s v="film &amp; video/documentary"/>
    <x v="4"/>
    <x v="4"/>
  </r>
  <r>
    <n v="355"/>
    <s v="Burns-Burnett"/>
    <s v="Front-line scalable definition"/>
    <n v="3800"/>
    <n v="2241"/>
    <x v="2"/>
    <n v="86"/>
    <x v="1"/>
    <s v="USD"/>
    <n v="58.973684210526315"/>
    <n v="1485064800"/>
    <n v="26.058139534883722"/>
    <n v="1488520800"/>
    <b v="0"/>
    <b v="0"/>
    <s v="technology/wearables"/>
    <x v="2"/>
    <x v="8"/>
  </r>
  <r>
    <n v="356"/>
    <s v="Glass, Nunez and Mcdonald"/>
    <s v="Open-source systematic protocol"/>
    <n v="9300"/>
    <n v="3431"/>
    <x v="0"/>
    <n v="40"/>
    <x v="6"/>
    <s v="EUR"/>
    <n v="36.892473118279568"/>
    <n v="1326520800"/>
    <n v="85.775000000000006"/>
    <n v="1327298400"/>
    <b v="0"/>
    <b v="0"/>
    <s v="theater/plays"/>
    <x v="3"/>
    <x v="3"/>
  </r>
  <r>
    <n v="357"/>
    <s v="Perez, Davis and Wilson"/>
    <s v="Implemented tangible algorithm"/>
    <n v="2300"/>
    <n v="4253"/>
    <x v="1"/>
    <n v="41"/>
    <x v="1"/>
    <s v="USD"/>
    <n v="184.91304347826087"/>
    <n v="1441256400"/>
    <n v="103.73170731707317"/>
    <n v="1443416400"/>
    <b v="0"/>
    <b v="0"/>
    <s v="games/video games"/>
    <x v="6"/>
    <x v="11"/>
  </r>
  <r>
    <n v="358"/>
    <s v="Diaz-Garcia"/>
    <s v="Profit-focused 3rdgeneration circuit"/>
    <n v="9700"/>
    <n v="1146"/>
    <x v="0"/>
    <n v="23"/>
    <x v="0"/>
    <s v="CAD"/>
    <n v="11.814432989690722"/>
    <n v="1533877200"/>
    <n v="49.826086956521742"/>
    <n v="1534136400"/>
    <b v="1"/>
    <b v="0"/>
    <s v="photography/photography books"/>
    <x v="7"/>
    <x v="14"/>
  </r>
  <r>
    <n v="359"/>
    <s v="Salazar-Moon"/>
    <s v="Compatible needs-based architecture"/>
    <n v="4000"/>
    <n v="11948"/>
    <x v="1"/>
    <n v="187"/>
    <x v="1"/>
    <s v="USD"/>
    <n v="298.7"/>
    <n v="1314421200"/>
    <n v="63.893048128342244"/>
    <n v="1315026000"/>
    <b v="0"/>
    <b v="0"/>
    <s v="film &amp; video/animation"/>
    <x v="4"/>
    <x v="10"/>
  </r>
  <r>
    <n v="360"/>
    <s v="Larsen-Chung"/>
    <s v="Right-sized zero tolerance migration"/>
    <n v="59700"/>
    <n v="135132"/>
    <x v="1"/>
    <n v="2875"/>
    <x v="4"/>
    <s v="GBP"/>
    <n v="226.35175879396985"/>
    <n v="1293861600"/>
    <n v="47.002434782608695"/>
    <n v="1295071200"/>
    <b v="0"/>
    <b v="1"/>
    <s v="theater/plays"/>
    <x v="3"/>
    <x v="3"/>
  </r>
  <r>
    <n v="361"/>
    <s v="Anderson and Sons"/>
    <s v="Quality-focused reciprocal structure"/>
    <n v="5500"/>
    <n v="9546"/>
    <x v="1"/>
    <n v="88"/>
    <x v="1"/>
    <s v="USD"/>
    <n v="173.56363636363636"/>
    <n v="1507352400"/>
    <n v="108.47727272727273"/>
    <n v="1509426000"/>
    <b v="0"/>
    <b v="0"/>
    <s v="theater/plays"/>
    <x v="3"/>
    <x v="3"/>
  </r>
  <r>
    <n v="362"/>
    <s v="Lawrence Group"/>
    <s v="Automated actuating conglomeration"/>
    <n v="3700"/>
    <n v="13755"/>
    <x v="1"/>
    <n v="191"/>
    <x v="1"/>
    <s v="USD"/>
    <n v="371.75675675675677"/>
    <n v="1296108000"/>
    <n v="72.015706806282722"/>
    <n v="1299391200"/>
    <b v="0"/>
    <b v="0"/>
    <s v="music/rock"/>
    <x v="1"/>
    <x v="1"/>
  </r>
  <r>
    <n v="363"/>
    <s v="Gray-Davis"/>
    <s v="Re-contextualized local initiative"/>
    <n v="5200"/>
    <n v="8330"/>
    <x v="1"/>
    <n v="139"/>
    <x v="1"/>
    <s v="USD"/>
    <n v="160.19230769230771"/>
    <n v="1324965600"/>
    <n v="59.928057553956833"/>
    <n v="1325052000"/>
    <b v="0"/>
    <b v="0"/>
    <s v="music/rock"/>
    <x v="1"/>
    <x v="1"/>
  </r>
  <r>
    <n v="364"/>
    <s v="Ramirez-Myers"/>
    <s v="Switchable intangible definition"/>
    <n v="900"/>
    <n v="14547"/>
    <x v="1"/>
    <n v="186"/>
    <x v="1"/>
    <s v="USD"/>
    <n v="1616.3333333333335"/>
    <n v="1520229600"/>
    <n v="78.209677419354833"/>
    <n v="1522818000"/>
    <b v="0"/>
    <b v="0"/>
    <s v="music/indie rock"/>
    <x v="1"/>
    <x v="7"/>
  </r>
  <r>
    <n v="365"/>
    <s v="Lucas, Hall and Bonilla"/>
    <s v="Networked bottom-line initiative"/>
    <n v="1600"/>
    <n v="11735"/>
    <x v="1"/>
    <n v="112"/>
    <x v="2"/>
    <s v="AUD"/>
    <n v="733.4375"/>
    <n v="1482991200"/>
    <n v="104.77678571428571"/>
    <n v="1485324000"/>
    <b v="0"/>
    <b v="0"/>
    <s v="theater/plays"/>
    <x v="3"/>
    <x v="3"/>
  </r>
  <r>
    <n v="366"/>
    <s v="Williams, Perez and Villegas"/>
    <s v="Robust directional system engine"/>
    <n v="1800"/>
    <n v="10658"/>
    <x v="1"/>
    <n v="101"/>
    <x v="1"/>
    <s v="USD"/>
    <n v="592.11111111111109"/>
    <n v="1294034400"/>
    <n v="105.52475247524752"/>
    <n v="1294120800"/>
    <b v="0"/>
    <b v="1"/>
    <s v="theater/plays"/>
    <x v="3"/>
    <x v="3"/>
  </r>
  <r>
    <n v="367"/>
    <s v="Brooks, Jones and Ingram"/>
    <s v="Triple-buffered explicit methodology"/>
    <n v="9900"/>
    <n v="1870"/>
    <x v="0"/>
    <n v="75"/>
    <x v="1"/>
    <s v="USD"/>
    <n v="18.888888888888889"/>
    <n v="1413608400"/>
    <n v="24.933333333333334"/>
    <n v="1415685600"/>
    <b v="0"/>
    <b v="1"/>
    <s v="theater/plays"/>
    <x v="3"/>
    <x v="3"/>
  </r>
  <r>
    <n v="368"/>
    <s v="Whitaker, Wallace and Daniels"/>
    <s v="Reactive directional capacity"/>
    <n v="5200"/>
    <n v="14394"/>
    <x v="1"/>
    <n v="206"/>
    <x v="4"/>
    <s v="GBP"/>
    <n v="276.80769230769232"/>
    <n v="1286946000"/>
    <n v="69.873786407766985"/>
    <n v="1288933200"/>
    <b v="0"/>
    <b v="1"/>
    <s v="film &amp; video/documentary"/>
    <x v="4"/>
    <x v="4"/>
  </r>
  <r>
    <n v="369"/>
    <s v="Smith-Gonzalez"/>
    <s v="Polarized needs-based approach"/>
    <n v="5400"/>
    <n v="14743"/>
    <x v="1"/>
    <n v="154"/>
    <x v="1"/>
    <s v="USD"/>
    <n v="273.01851851851848"/>
    <n v="1359871200"/>
    <n v="95.733766233766232"/>
    <n v="1363237200"/>
    <b v="0"/>
    <b v="1"/>
    <s v="film &amp; video/television"/>
    <x v="4"/>
    <x v="19"/>
  </r>
  <r>
    <n v="370"/>
    <s v="Skinner PLC"/>
    <s v="Intuitive well-modulated middleware"/>
    <n v="112300"/>
    <n v="178965"/>
    <x v="1"/>
    <n v="5966"/>
    <x v="1"/>
    <s v="USD"/>
    <n v="159.36331255565449"/>
    <n v="1555304400"/>
    <n v="29.997485752598056"/>
    <n v="1555822800"/>
    <b v="0"/>
    <b v="0"/>
    <s v="theater/plays"/>
    <x v="3"/>
    <x v="3"/>
  </r>
  <r>
    <n v="371"/>
    <s v="Nolan, Smith and Sanchez"/>
    <s v="Multi-channeled logistical matrices"/>
    <n v="189200"/>
    <n v="128410"/>
    <x v="0"/>
    <n v="2176"/>
    <x v="1"/>
    <s v="USD"/>
    <n v="67.869978858350947"/>
    <n v="1423375200"/>
    <n v="59.011948529411768"/>
    <n v="1427778000"/>
    <b v="0"/>
    <b v="0"/>
    <s v="theater/plays"/>
    <x v="3"/>
    <x v="3"/>
  </r>
  <r>
    <n v="372"/>
    <s v="Green-Carr"/>
    <s v="Pre-emptive bifurcated artificial intelligence"/>
    <n v="900"/>
    <n v="14324"/>
    <x v="1"/>
    <n v="169"/>
    <x v="1"/>
    <s v="USD"/>
    <n v="1591.5555555555554"/>
    <n v="1420696800"/>
    <n v="84.757396449704146"/>
    <n v="1422424800"/>
    <b v="0"/>
    <b v="1"/>
    <s v="film &amp; video/documentary"/>
    <x v="4"/>
    <x v="4"/>
  </r>
  <r>
    <n v="373"/>
    <s v="Brown-Parker"/>
    <s v="Down-sized coherent toolset"/>
    <n v="22500"/>
    <n v="164291"/>
    <x v="1"/>
    <n v="2106"/>
    <x v="1"/>
    <s v="USD"/>
    <n v="730.18222222222221"/>
    <n v="1502946000"/>
    <n v="78.010921177587846"/>
    <n v="1503637200"/>
    <b v="0"/>
    <b v="0"/>
    <s v="theater/plays"/>
    <x v="3"/>
    <x v="3"/>
  </r>
  <r>
    <n v="374"/>
    <s v="Marshall Inc"/>
    <s v="Open-source multi-tasking data-warehouse"/>
    <n v="167400"/>
    <n v="22073"/>
    <x v="0"/>
    <n v="441"/>
    <x v="1"/>
    <s v="USD"/>
    <n v="13.185782556750297"/>
    <n v="1547186400"/>
    <n v="50.05215419501134"/>
    <n v="1547618400"/>
    <b v="0"/>
    <b v="1"/>
    <s v="film &amp; video/documentary"/>
    <x v="4"/>
    <x v="4"/>
  </r>
  <r>
    <n v="375"/>
    <s v="Leblanc-Pineda"/>
    <s v="Future-proofed upward-trending contingency"/>
    <n v="2700"/>
    <n v="1479"/>
    <x v="0"/>
    <n v="25"/>
    <x v="1"/>
    <s v="USD"/>
    <n v="54.777777777777779"/>
    <n v="1444971600"/>
    <n v="59.16"/>
    <n v="1449900000"/>
    <b v="0"/>
    <b v="0"/>
    <s v="music/indie rock"/>
    <x v="1"/>
    <x v="7"/>
  </r>
  <r>
    <n v="376"/>
    <s v="Perry PLC"/>
    <s v="Mandatory uniform matrix"/>
    <n v="3400"/>
    <n v="12275"/>
    <x v="1"/>
    <n v="131"/>
    <x v="1"/>
    <s v="USD"/>
    <n v="361.02941176470591"/>
    <n v="1404622800"/>
    <n v="93.702290076335885"/>
    <n v="1405141200"/>
    <b v="0"/>
    <b v="0"/>
    <s v="music/rock"/>
    <x v="1"/>
    <x v="1"/>
  </r>
  <r>
    <n v="377"/>
    <s v="Klein, Stark and Livingston"/>
    <s v="Phased methodical initiative"/>
    <n v="49700"/>
    <n v="5098"/>
    <x v="0"/>
    <n v="127"/>
    <x v="1"/>
    <s v="USD"/>
    <n v="10.257545271629779"/>
    <n v="1571720400"/>
    <n v="40.14173228346457"/>
    <n v="1572933600"/>
    <b v="0"/>
    <b v="0"/>
    <s v="theater/plays"/>
    <x v="3"/>
    <x v="3"/>
  </r>
  <r>
    <n v="378"/>
    <s v="Fleming-Oliver"/>
    <s v="Managed stable function"/>
    <n v="178200"/>
    <n v="24882"/>
    <x v="0"/>
    <n v="355"/>
    <x v="1"/>
    <s v="USD"/>
    <n v="13.962962962962964"/>
    <n v="1526878800"/>
    <n v="70.090140845070422"/>
    <n v="1530162000"/>
    <b v="0"/>
    <b v="0"/>
    <s v="film &amp; video/documentary"/>
    <x v="4"/>
    <x v="4"/>
  </r>
  <r>
    <n v="379"/>
    <s v="Reilly, Aguirre and Johnson"/>
    <s v="Realigned clear-thinking migration"/>
    <n v="7200"/>
    <n v="2912"/>
    <x v="0"/>
    <n v="44"/>
    <x v="4"/>
    <s v="GBP"/>
    <n v="40.444444444444443"/>
    <n v="1319691600"/>
    <n v="66.181818181818187"/>
    <n v="1320904800"/>
    <b v="0"/>
    <b v="0"/>
    <s v="theater/plays"/>
    <x v="3"/>
    <x v="3"/>
  </r>
  <r>
    <n v="380"/>
    <s v="Davidson, Wilcox and Lewis"/>
    <s v="Optional clear-thinking process improvement"/>
    <n v="2500"/>
    <n v="4008"/>
    <x v="1"/>
    <n v="84"/>
    <x v="1"/>
    <s v="USD"/>
    <n v="160.32"/>
    <n v="1371963600"/>
    <n v="47.714285714285715"/>
    <n v="1372395600"/>
    <b v="0"/>
    <b v="0"/>
    <s v="theater/plays"/>
    <x v="3"/>
    <x v="3"/>
  </r>
  <r>
    <n v="381"/>
    <s v="Michael, Anderson and Vincent"/>
    <s v="Cross-group global moratorium"/>
    <n v="5300"/>
    <n v="9749"/>
    <x v="1"/>
    <n v="155"/>
    <x v="1"/>
    <s v="USD"/>
    <n v="183.9433962264151"/>
    <n v="1433739600"/>
    <n v="62.896774193548389"/>
    <n v="1437714000"/>
    <b v="0"/>
    <b v="0"/>
    <s v="theater/plays"/>
    <x v="3"/>
    <x v="3"/>
  </r>
  <r>
    <n v="382"/>
    <s v="King Ltd"/>
    <s v="Visionary systemic process improvement"/>
    <n v="9100"/>
    <n v="5803"/>
    <x v="0"/>
    <n v="67"/>
    <x v="1"/>
    <s v="USD"/>
    <n v="63.769230769230766"/>
    <n v="1508130000"/>
    <n v="86.611940298507463"/>
    <n v="1509771600"/>
    <b v="0"/>
    <b v="0"/>
    <s v="photography/photography books"/>
    <x v="7"/>
    <x v="14"/>
  </r>
  <r>
    <n v="383"/>
    <s v="Baker Ltd"/>
    <s v="Progressive intangible flexibility"/>
    <n v="6300"/>
    <n v="14199"/>
    <x v="1"/>
    <n v="189"/>
    <x v="1"/>
    <s v="USD"/>
    <n v="225.38095238095238"/>
    <n v="1550037600"/>
    <n v="75.126984126984127"/>
    <n v="1550556000"/>
    <b v="0"/>
    <b v="1"/>
    <s v="food/food trucks"/>
    <x v="0"/>
    <x v="0"/>
  </r>
  <r>
    <n v="384"/>
    <s v="Baker, Collins and Smith"/>
    <s v="Reactive real-time software"/>
    <n v="114400"/>
    <n v="196779"/>
    <x v="1"/>
    <n v="4799"/>
    <x v="1"/>
    <s v="USD"/>
    <n v="172.00961538461539"/>
    <n v="1486706400"/>
    <n v="41.004167534903104"/>
    <n v="1489039200"/>
    <b v="1"/>
    <b v="1"/>
    <s v="film &amp; video/documentary"/>
    <x v="4"/>
    <x v="4"/>
  </r>
  <r>
    <n v="385"/>
    <s v="Warren-Harrison"/>
    <s v="Programmable incremental knowledge user"/>
    <n v="38900"/>
    <n v="56859"/>
    <x v="1"/>
    <n v="1137"/>
    <x v="1"/>
    <s v="USD"/>
    <n v="146.16709511568124"/>
    <n v="1553835600"/>
    <n v="50.007915567282325"/>
    <n v="1556600400"/>
    <b v="0"/>
    <b v="0"/>
    <s v="publishing/nonfiction"/>
    <x v="5"/>
    <x v="9"/>
  </r>
  <r>
    <n v="386"/>
    <s v="Gardner Group"/>
    <s v="Progressive 5thgeneration customer loyalty"/>
    <n v="135500"/>
    <n v="103554"/>
    <x v="0"/>
    <n v="1068"/>
    <x v="1"/>
    <s v="USD"/>
    <n v="76.42361623616236"/>
    <n v="1277528400"/>
    <n v="96.960674157303373"/>
    <n v="1278565200"/>
    <b v="0"/>
    <b v="0"/>
    <s v="theater/plays"/>
    <x v="3"/>
    <x v="3"/>
  </r>
  <r>
    <n v="387"/>
    <s v="Flores-Lambert"/>
    <s v="Triple-buffered logistical frame"/>
    <n v="109000"/>
    <n v="42795"/>
    <x v="0"/>
    <n v="424"/>
    <x v="1"/>
    <s v="USD"/>
    <n v="39.261467889908261"/>
    <n v="1339477200"/>
    <n v="100.93160377358491"/>
    <n v="1339909200"/>
    <b v="0"/>
    <b v="0"/>
    <s v="technology/wearables"/>
    <x v="2"/>
    <x v="8"/>
  </r>
  <r>
    <n v="388"/>
    <s v="Cruz Ltd"/>
    <s v="Exclusive dynamic adapter"/>
    <n v="114800"/>
    <n v="12938"/>
    <x v="3"/>
    <n v="145"/>
    <x v="5"/>
    <s v="CHF"/>
    <n v="11.270034843205574"/>
    <n v="1325656800"/>
    <n v="89.227586206896547"/>
    <n v="1325829600"/>
    <b v="0"/>
    <b v="0"/>
    <s v="music/indie rock"/>
    <x v="1"/>
    <x v="7"/>
  </r>
  <r>
    <n v="389"/>
    <s v="Knox-Garner"/>
    <s v="Automated systemic hierarchy"/>
    <n v="83000"/>
    <n v="101352"/>
    <x v="1"/>
    <n v="1152"/>
    <x v="1"/>
    <s v="USD"/>
    <n v="122.11084337349398"/>
    <n v="1288242000"/>
    <n v="87.979166666666671"/>
    <n v="1290578400"/>
    <b v="0"/>
    <b v="0"/>
    <s v="theater/plays"/>
    <x v="3"/>
    <x v="3"/>
  </r>
  <r>
    <n v="390"/>
    <s v="Davis-Allen"/>
    <s v="Digitized eco-centric core"/>
    <n v="2400"/>
    <n v="4477"/>
    <x v="1"/>
    <n v="50"/>
    <x v="1"/>
    <s v="USD"/>
    <n v="186.54166666666669"/>
    <n v="1379048400"/>
    <n v="89.54"/>
    <n v="1380344400"/>
    <b v="0"/>
    <b v="0"/>
    <s v="photography/photography books"/>
    <x v="7"/>
    <x v="14"/>
  </r>
  <r>
    <n v="391"/>
    <s v="Miller-Patel"/>
    <s v="Mandatory uniform strategy"/>
    <n v="60400"/>
    <n v="4393"/>
    <x v="0"/>
    <n v="151"/>
    <x v="1"/>
    <s v="USD"/>
    <n v="7.2731788079470201"/>
    <n v="1389679200"/>
    <n v="29.09271523178808"/>
    <n v="1389852000"/>
    <b v="0"/>
    <b v="0"/>
    <s v="publishing/nonfiction"/>
    <x v="5"/>
    <x v="9"/>
  </r>
  <r>
    <n v="392"/>
    <s v="Hernandez-Grimes"/>
    <s v="Profit-focused zero administration forecast"/>
    <n v="102900"/>
    <n v="67546"/>
    <x v="0"/>
    <n v="1608"/>
    <x v="1"/>
    <s v="USD"/>
    <n v="65.642371234207957"/>
    <n v="1294293600"/>
    <n v="42.006218905472636"/>
    <n v="1294466400"/>
    <b v="0"/>
    <b v="0"/>
    <s v="technology/wearables"/>
    <x v="2"/>
    <x v="8"/>
  </r>
  <r>
    <n v="393"/>
    <s v="Owens, Hall and Gonzalez"/>
    <s v="De-engineered static orchestration"/>
    <n v="62800"/>
    <n v="143788"/>
    <x v="1"/>
    <n v="3059"/>
    <x v="0"/>
    <s v="CAD"/>
    <n v="228.96178343949046"/>
    <n v="1500267600"/>
    <n v="47.004903563255965"/>
    <n v="1500354000"/>
    <b v="0"/>
    <b v="0"/>
    <s v="music/jazz"/>
    <x v="1"/>
    <x v="17"/>
  </r>
  <r>
    <n v="394"/>
    <s v="Noble-Bailey"/>
    <s v="Customizable dynamic info-mediaries"/>
    <n v="800"/>
    <n v="3755"/>
    <x v="1"/>
    <n v="34"/>
    <x v="1"/>
    <s v="USD"/>
    <n v="469.37499999999994"/>
    <n v="1375074000"/>
    <n v="110.44117647058823"/>
    <n v="1375938000"/>
    <b v="0"/>
    <b v="1"/>
    <s v="film &amp; video/documentary"/>
    <x v="4"/>
    <x v="4"/>
  </r>
  <r>
    <n v="395"/>
    <s v="Taylor PLC"/>
    <s v="Enhanced incremental budgetary management"/>
    <n v="7100"/>
    <n v="9238"/>
    <x v="1"/>
    <n v="220"/>
    <x v="1"/>
    <s v="USD"/>
    <n v="130.11267605633802"/>
    <n v="1323324000"/>
    <n v="41.990909090909092"/>
    <n v="1323410400"/>
    <b v="1"/>
    <b v="0"/>
    <s v="theater/plays"/>
    <x v="3"/>
    <x v="3"/>
  </r>
  <r>
    <n v="396"/>
    <s v="Holmes PLC"/>
    <s v="Digitized local info-mediaries"/>
    <n v="46100"/>
    <n v="77012"/>
    <x v="1"/>
    <n v="1604"/>
    <x v="2"/>
    <s v="AUD"/>
    <n v="167.05422993492408"/>
    <n v="1538715600"/>
    <n v="48.012468827930178"/>
    <n v="1539406800"/>
    <b v="0"/>
    <b v="0"/>
    <s v="film &amp; video/drama"/>
    <x v="4"/>
    <x v="6"/>
  </r>
  <r>
    <n v="397"/>
    <s v="Jones-Martin"/>
    <s v="Virtual systematic monitoring"/>
    <n v="8100"/>
    <n v="14083"/>
    <x v="1"/>
    <n v="454"/>
    <x v="1"/>
    <s v="USD"/>
    <n v="173.8641975308642"/>
    <n v="1369285200"/>
    <n v="31.019823788546255"/>
    <n v="1369803600"/>
    <b v="0"/>
    <b v="0"/>
    <s v="music/rock"/>
    <x v="1"/>
    <x v="1"/>
  </r>
  <r>
    <n v="398"/>
    <s v="Myers LLC"/>
    <s v="Reactive bottom-line open architecture"/>
    <n v="1700"/>
    <n v="12202"/>
    <x v="1"/>
    <n v="123"/>
    <x v="6"/>
    <s v="EUR"/>
    <n v="717.76470588235293"/>
    <n v="1525755600"/>
    <n v="99.203252032520325"/>
    <n v="1525928400"/>
    <b v="0"/>
    <b v="1"/>
    <s v="film &amp; video/animation"/>
    <x v="4"/>
    <x v="10"/>
  </r>
  <r>
    <n v="399"/>
    <s v="Acosta, Mullins and Morris"/>
    <s v="Pre-emptive interactive model"/>
    <n v="97300"/>
    <n v="62127"/>
    <x v="0"/>
    <n v="941"/>
    <x v="1"/>
    <s v="USD"/>
    <n v="63.850976361767728"/>
    <n v="1296626400"/>
    <n v="66.022316684378325"/>
    <n v="1297231200"/>
    <b v="0"/>
    <b v="0"/>
    <s v="music/indie rock"/>
    <x v="1"/>
    <x v="7"/>
  </r>
  <r>
    <n v="400"/>
    <s v="Bell PLC"/>
    <s v="Ergonomic eco-centric open architecture"/>
    <n v="100"/>
    <n v="2"/>
    <x v="0"/>
    <n v="1"/>
    <x v="1"/>
    <s v="USD"/>
    <n v="2"/>
    <n v="1376629200"/>
    <n v="2"/>
    <n v="1378530000"/>
    <b v="0"/>
    <b v="1"/>
    <s v="photography/photography books"/>
    <x v="7"/>
    <x v="14"/>
  </r>
  <r>
    <n v="401"/>
    <s v="Smith-Schmidt"/>
    <s v="Inverse radical hierarchy"/>
    <n v="900"/>
    <n v="13772"/>
    <x v="1"/>
    <n v="299"/>
    <x v="1"/>
    <s v="USD"/>
    <n v="1530.2222222222222"/>
    <n v="1572152400"/>
    <n v="46.060200668896321"/>
    <n v="1572152400"/>
    <b v="0"/>
    <b v="0"/>
    <s v="theater/plays"/>
    <x v="3"/>
    <x v="3"/>
  </r>
  <r>
    <n v="402"/>
    <s v="Ruiz, Richardson and Cole"/>
    <s v="Team-oriented static interface"/>
    <n v="7300"/>
    <n v="2946"/>
    <x v="0"/>
    <n v="40"/>
    <x v="1"/>
    <s v="USD"/>
    <n v="40.356164383561641"/>
    <n v="1325829600"/>
    <n v="73.650000000000006"/>
    <n v="1329890400"/>
    <b v="0"/>
    <b v="1"/>
    <s v="film &amp; video/shorts"/>
    <x v="4"/>
    <x v="12"/>
  </r>
  <r>
    <n v="403"/>
    <s v="Leonard-Mcclain"/>
    <s v="Virtual foreground throughput"/>
    <n v="195800"/>
    <n v="168820"/>
    <x v="0"/>
    <n v="3015"/>
    <x v="0"/>
    <s v="CAD"/>
    <n v="86.220633299284984"/>
    <n v="1273640400"/>
    <n v="55.99336650082919"/>
    <n v="1276750800"/>
    <b v="0"/>
    <b v="1"/>
    <s v="theater/plays"/>
    <x v="3"/>
    <x v="3"/>
  </r>
  <r>
    <n v="404"/>
    <s v="Bailey-Boyer"/>
    <s v="Visionary exuding Internet solution"/>
    <n v="48900"/>
    <n v="154321"/>
    <x v="1"/>
    <n v="2237"/>
    <x v="1"/>
    <s v="USD"/>
    <n v="315.58486707566465"/>
    <n v="1510639200"/>
    <n v="68.985695127402778"/>
    <n v="1510898400"/>
    <b v="0"/>
    <b v="0"/>
    <s v="theater/plays"/>
    <x v="3"/>
    <x v="3"/>
  </r>
  <r>
    <n v="405"/>
    <s v="Lee LLC"/>
    <s v="Synchronized secondary analyzer"/>
    <n v="29600"/>
    <n v="26527"/>
    <x v="0"/>
    <n v="435"/>
    <x v="1"/>
    <s v="USD"/>
    <n v="89.618243243243242"/>
    <n v="1528088400"/>
    <n v="60.981609195402299"/>
    <n v="1532408400"/>
    <b v="0"/>
    <b v="0"/>
    <s v="theater/plays"/>
    <x v="3"/>
    <x v="3"/>
  </r>
  <r>
    <n v="406"/>
    <s v="Lyons Inc"/>
    <s v="Balanced attitude-oriented parallelism"/>
    <n v="39300"/>
    <n v="71583"/>
    <x v="1"/>
    <n v="645"/>
    <x v="1"/>
    <s v="USD"/>
    <n v="182.14503816793894"/>
    <n v="1359525600"/>
    <n v="110.98139534883721"/>
    <n v="1360562400"/>
    <b v="1"/>
    <b v="0"/>
    <s v="film &amp; video/documentary"/>
    <x v="4"/>
    <x v="4"/>
  </r>
  <r>
    <n v="407"/>
    <s v="Herrera-Wilson"/>
    <s v="Organized bandwidth-monitored core"/>
    <n v="3400"/>
    <n v="12100"/>
    <x v="1"/>
    <n v="484"/>
    <x v="3"/>
    <s v="DKK"/>
    <n v="355.88235294117646"/>
    <n v="1570942800"/>
    <n v="25"/>
    <n v="1571547600"/>
    <b v="0"/>
    <b v="0"/>
    <s v="theater/plays"/>
    <x v="3"/>
    <x v="3"/>
  </r>
  <r>
    <n v="408"/>
    <s v="Mahoney, Adams and Lucas"/>
    <s v="Cloned leadingedge utilization"/>
    <n v="9200"/>
    <n v="12129"/>
    <x v="1"/>
    <n v="154"/>
    <x v="0"/>
    <s v="CAD"/>
    <n v="131.83695652173913"/>
    <n v="1466398800"/>
    <n v="78.759740259740255"/>
    <n v="1468126800"/>
    <b v="0"/>
    <b v="0"/>
    <s v="film &amp; video/documentary"/>
    <x v="4"/>
    <x v="4"/>
  </r>
  <r>
    <n v="409"/>
    <s v="Stewart LLC"/>
    <s v="Secured asymmetric projection"/>
    <n v="135600"/>
    <n v="62804"/>
    <x v="0"/>
    <n v="714"/>
    <x v="1"/>
    <s v="USD"/>
    <n v="46.315634218289084"/>
    <n v="1492491600"/>
    <n v="87.960784313725483"/>
    <n v="1492837200"/>
    <b v="0"/>
    <b v="0"/>
    <s v="music/rock"/>
    <x v="1"/>
    <x v="1"/>
  </r>
  <r>
    <n v="410"/>
    <s v="Mcmillan Group"/>
    <s v="Advanced cohesive Graphic Interface"/>
    <n v="153700"/>
    <n v="55536"/>
    <x v="2"/>
    <n v="1111"/>
    <x v="1"/>
    <s v="USD"/>
    <n v="36.132726089785294"/>
    <n v="1430197200"/>
    <n v="49.987398739873989"/>
    <n v="1430197200"/>
    <b v="0"/>
    <b v="0"/>
    <s v="games/mobile games"/>
    <x v="6"/>
    <x v="20"/>
  </r>
  <r>
    <n v="411"/>
    <s v="Beck, Thompson and Martinez"/>
    <s v="Down-sized maximized function"/>
    <n v="7800"/>
    <n v="8161"/>
    <x v="1"/>
    <n v="82"/>
    <x v="1"/>
    <s v="USD"/>
    <n v="104.62820512820512"/>
    <n v="1496034000"/>
    <n v="99.524390243902445"/>
    <n v="1496206800"/>
    <b v="0"/>
    <b v="0"/>
    <s v="theater/plays"/>
    <x v="3"/>
    <x v="3"/>
  </r>
  <r>
    <n v="412"/>
    <s v="Rodriguez-Scott"/>
    <s v="Realigned zero tolerance software"/>
    <n v="2100"/>
    <n v="14046"/>
    <x v="1"/>
    <n v="134"/>
    <x v="1"/>
    <s v="USD"/>
    <n v="668.85714285714289"/>
    <n v="1388728800"/>
    <n v="104.82089552238806"/>
    <n v="1389592800"/>
    <b v="0"/>
    <b v="0"/>
    <s v="publishing/fiction"/>
    <x v="5"/>
    <x v="13"/>
  </r>
  <r>
    <n v="413"/>
    <s v="Rush-Bowers"/>
    <s v="Persevering analyzing extranet"/>
    <n v="189500"/>
    <n v="117628"/>
    <x v="2"/>
    <n v="1089"/>
    <x v="1"/>
    <s v="USD"/>
    <n v="62.072823218997364"/>
    <n v="1543298400"/>
    <n v="108.01469237832875"/>
    <n v="1545631200"/>
    <b v="0"/>
    <b v="0"/>
    <s v="film &amp; video/animation"/>
    <x v="4"/>
    <x v="10"/>
  </r>
  <r>
    <n v="414"/>
    <s v="Davis and Sons"/>
    <s v="Innovative human-resource migration"/>
    <n v="188200"/>
    <n v="159405"/>
    <x v="0"/>
    <n v="5497"/>
    <x v="1"/>
    <s v="USD"/>
    <n v="84.699787460148784"/>
    <n v="1271739600"/>
    <n v="28.998544660724033"/>
    <n v="1272430800"/>
    <b v="0"/>
    <b v="1"/>
    <s v="food/food trucks"/>
    <x v="0"/>
    <x v="0"/>
  </r>
  <r>
    <n v="415"/>
    <s v="Anderson-Pham"/>
    <s v="Intuitive needs-based monitoring"/>
    <n v="113500"/>
    <n v="12552"/>
    <x v="0"/>
    <n v="418"/>
    <x v="1"/>
    <s v="USD"/>
    <n v="11.059030837004405"/>
    <n v="1326434400"/>
    <n v="30.028708133971293"/>
    <n v="1327903200"/>
    <b v="0"/>
    <b v="0"/>
    <s v="theater/plays"/>
    <x v="3"/>
    <x v="3"/>
  </r>
  <r>
    <n v="416"/>
    <s v="Stewart-Coleman"/>
    <s v="Customer-focused disintermediate toolset"/>
    <n v="134600"/>
    <n v="59007"/>
    <x v="0"/>
    <n v="1439"/>
    <x v="1"/>
    <s v="USD"/>
    <n v="43.838781575037146"/>
    <n v="1295244000"/>
    <n v="41.005559416261292"/>
    <n v="1296021600"/>
    <b v="0"/>
    <b v="1"/>
    <s v="film &amp; video/documentary"/>
    <x v="4"/>
    <x v="4"/>
  </r>
  <r>
    <n v="417"/>
    <s v="Bradshaw, Smith and Ryan"/>
    <s v="Upgradable 24/7 emulation"/>
    <n v="1700"/>
    <n v="943"/>
    <x v="0"/>
    <n v="15"/>
    <x v="1"/>
    <s v="USD"/>
    <n v="55.470588235294116"/>
    <n v="1541221200"/>
    <n v="62.866666666666667"/>
    <n v="1543298400"/>
    <b v="0"/>
    <b v="0"/>
    <s v="theater/plays"/>
    <x v="3"/>
    <x v="3"/>
  </r>
  <r>
    <n v="418"/>
    <s v="Jackson PLC"/>
    <s v="Quality-focused client-server core"/>
    <n v="163700"/>
    <n v="93963"/>
    <x v="0"/>
    <n v="1999"/>
    <x v="0"/>
    <s v="CAD"/>
    <n v="57.399511301160658"/>
    <n v="1336280400"/>
    <n v="47.005002501250623"/>
    <n v="1336366800"/>
    <b v="0"/>
    <b v="0"/>
    <s v="film &amp; video/documentary"/>
    <x v="4"/>
    <x v="4"/>
  </r>
  <r>
    <n v="419"/>
    <s v="Ware-Arias"/>
    <s v="Upgradable maximized protocol"/>
    <n v="113800"/>
    <n v="140469"/>
    <x v="1"/>
    <n v="5203"/>
    <x v="1"/>
    <s v="USD"/>
    <n v="123.43497363796135"/>
    <n v="1324533600"/>
    <n v="26.997693638285604"/>
    <n v="1325052000"/>
    <b v="0"/>
    <b v="0"/>
    <s v="technology/web"/>
    <x v="2"/>
    <x v="2"/>
  </r>
  <r>
    <n v="420"/>
    <s v="Blair, Reyes and Woods"/>
    <s v="Cross-platform interactive synergy"/>
    <n v="5000"/>
    <n v="6423"/>
    <x v="1"/>
    <n v="94"/>
    <x v="1"/>
    <s v="USD"/>
    <n v="128.46"/>
    <n v="1498366800"/>
    <n v="68.329787234042556"/>
    <n v="1499576400"/>
    <b v="0"/>
    <b v="0"/>
    <s v="theater/plays"/>
    <x v="3"/>
    <x v="3"/>
  </r>
  <r>
    <n v="421"/>
    <s v="Thomas-Lopez"/>
    <s v="User-centric fault-tolerant archive"/>
    <n v="9400"/>
    <n v="6015"/>
    <x v="0"/>
    <n v="118"/>
    <x v="1"/>
    <s v="USD"/>
    <n v="63.989361702127653"/>
    <n v="1498712400"/>
    <n v="50.974576271186443"/>
    <n v="1501304400"/>
    <b v="0"/>
    <b v="1"/>
    <s v="technology/wearables"/>
    <x v="2"/>
    <x v="8"/>
  </r>
  <r>
    <n v="422"/>
    <s v="Brown, Davies and Pacheco"/>
    <s v="Reverse-engineered regional knowledge user"/>
    <n v="8700"/>
    <n v="11075"/>
    <x v="1"/>
    <n v="205"/>
    <x v="1"/>
    <s v="USD"/>
    <n v="127.29885057471265"/>
    <n v="1271480400"/>
    <n v="54.024390243902438"/>
    <n v="1273208400"/>
    <b v="0"/>
    <b v="1"/>
    <s v="theater/plays"/>
    <x v="3"/>
    <x v="3"/>
  </r>
  <r>
    <n v="423"/>
    <s v="Jones-Riddle"/>
    <s v="Self-enabling real-time definition"/>
    <n v="147800"/>
    <n v="15723"/>
    <x v="0"/>
    <n v="162"/>
    <x v="1"/>
    <s v="USD"/>
    <n v="10.638024357239512"/>
    <n v="1316667600"/>
    <n v="97.055555555555557"/>
    <n v="1316840400"/>
    <b v="0"/>
    <b v="1"/>
    <s v="food/food trucks"/>
    <x v="0"/>
    <x v="0"/>
  </r>
  <r>
    <n v="424"/>
    <s v="Schmidt-Gomez"/>
    <s v="User-centric impactful projection"/>
    <n v="5100"/>
    <n v="2064"/>
    <x v="0"/>
    <n v="83"/>
    <x v="1"/>
    <s v="USD"/>
    <n v="40.470588235294116"/>
    <n v="1524027600"/>
    <n v="24.867469879518072"/>
    <n v="1524546000"/>
    <b v="0"/>
    <b v="0"/>
    <s v="music/indie rock"/>
    <x v="1"/>
    <x v="7"/>
  </r>
  <r>
    <n v="425"/>
    <s v="Sullivan, Davis and Booth"/>
    <s v="Vision-oriented actuating hardware"/>
    <n v="2700"/>
    <n v="7767"/>
    <x v="1"/>
    <n v="92"/>
    <x v="1"/>
    <s v="USD"/>
    <n v="287.66666666666663"/>
    <n v="1438059600"/>
    <n v="84.423913043478265"/>
    <n v="1438578000"/>
    <b v="0"/>
    <b v="0"/>
    <s v="photography/photography books"/>
    <x v="7"/>
    <x v="14"/>
  </r>
  <r>
    <n v="426"/>
    <s v="Edwards-Kane"/>
    <s v="Virtual leadingedge framework"/>
    <n v="1800"/>
    <n v="10313"/>
    <x v="1"/>
    <n v="219"/>
    <x v="1"/>
    <s v="USD"/>
    <n v="572.94444444444446"/>
    <n v="1361944800"/>
    <n v="47.091324200913242"/>
    <n v="1362549600"/>
    <b v="0"/>
    <b v="0"/>
    <s v="theater/plays"/>
    <x v="3"/>
    <x v="3"/>
  </r>
  <r>
    <n v="427"/>
    <s v="Hicks, Wall and Webb"/>
    <s v="Managed discrete framework"/>
    <n v="174500"/>
    <n v="197018"/>
    <x v="1"/>
    <n v="2526"/>
    <x v="1"/>
    <s v="USD"/>
    <n v="112.90429799426933"/>
    <n v="1410584400"/>
    <n v="77.996041171813147"/>
    <n v="1413349200"/>
    <b v="0"/>
    <b v="1"/>
    <s v="theater/plays"/>
    <x v="3"/>
    <x v="3"/>
  </r>
  <r>
    <n v="428"/>
    <s v="Mayer-Richmond"/>
    <s v="Progressive zero-defect capability"/>
    <n v="101400"/>
    <n v="47037"/>
    <x v="0"/>
    <n v="747"/>
    <x v="1"/>
    <s v="USD"/>
    <n v="46.387573964497044"/>
    <n v="1297404000"/>
    <n v="62.967871485943775"/>
    <n v="1298008800"/>
    <b v="0"/>
    <b v="0"/>
    <s v="film &amp; video/animation"/>
    <x v="4"/>
    <x v="10"/>
  </r>
  <r>
    <n v="429"/>
    <s v="Robles Ltd"/>
    <s v="Right-sized demand-driven adapter"/>
    <n v="191000"/>
    <n v="173191"/>
    <x v="3"/>
    <n v="2138"/>
    <x v="1"/>
    <s v="USD"/>
    <n v="90.675916230366497"/>
    <n v="1392012000"/>
    <n v="81.006080449017773"/>
    <n v="1394427600"/>
    <b v="0"/>
    <b v="1"/>
    <s v="photography/photography books"/>
    <x v="7"/>
    <x v="14"/>
  </r>
  <r>
    <n v="430"/>
    <s v="Cochran Ltd"/>
    <s v="Re-engineered attitude-oriented frame"/>
    <n v="8100"/>
    <n v="5487"/>
    <x v="0"/>
    <n v="84"/>
    <x v="1"/>
    <s v="USD"/>
    <n v="67.740740740740748"/>
    <n v="1569733200"/>
    <n v="65.321428571428569"/>
    <n v="1572670800"/>
    <b v="0"/>
    <b v="0"/>
    <s v="theater/plays"/>
    <x v="3"/>
    <x v="3"/>
  </r>
  <r>
    <n v="431"/>
    <s v="Rosales LLC"/>
    <s v="Compatible multimedia utilization"/>
    <n v="5100"/>
    <n v="9817"/>
    <x v="1"/>
    <n v="94"/>
    <x v="1"/>
    <s v="USD"/>
    <n v="192.49019607843135"/>
    <n v="1529643600"/>
    <n v="104.43617021276596"/>
    <n v="1531112400"/>
    <b v="1"/>
    <b v="0"/>
    <s v="theater/plays"/>
    <x v="3"/>
    <x v="3"/>
  </r>
  <r>
    <n v="432"/>
    <s v="Harper-Bryan"/>
    <s v="Re-contextualized dedicated hardware"/>
    <n v="7700"/>
    <n v="6369"/>
    <x v="0"/>
    <n v="91"/>
    <x v="1"/>
    <s v="USD"/>
    <n v="82.714285714285722"/>
    <n v="1399006800"/>
    <n v="69.989010989010993"/>
    <n v="1400734800"/>
    <b v="0"/>
    <b v="0"/>
    <s v="theater/plays"/>
    <x v="3"/>
    <x v="3"/>
  </r>
  <r>
    <n v="433"/>
    <s v="Potter, Harper and Everett"/>
    <s v="Decentralized composite paradigm"/>
    <n v="121400"/>
    <n v="65755"/>
    <x v="0"/>
    <n v="792"/>
    <x v="1"/>
    <s v="USD"/>
    <n v="54.163920922570021"/>
    <n v="1385359200"/>
    <n v="83.023989898989896"/>
    <n v="1386741600"/>
    <b v="0"/>
    <b v="1"/>
    <s v="film &amp; video/documentary"/>
    <x v="4"/>
    <x v="4"/>
  </r>
  <r>
    <n v="434"/>
    <s v="Floyd-Sims"/>
    <s v="Cloned transitional hierarchy"/>
    <n v="5400"/>
    <n v="903"/>
    <x v="3"/>
    <n v="10"/>
    <x v="0"/>
    <s v="CAD"/>
    <n v="16.722222222222221"/>
    <n v="1480572000"/>
    <n v="90.3"/>
    <n v="1481781600"/>
    <b v="1"/>
    <b v="0"/>
    <s v="theater/plays"/>
    <x v="3"/>
    <x v="3"/>
  </r>
  <r>
    <n v="435"/>
    <s v="Spence, Jackson and Kelly"/>
    <s v="Advanced discrete leverage"/>
    <n v="152400"/>
    <n v="178120"/>
    <x v="1"/>
    <n v="1713"/>
    <x v="6"/>
    <s v="EUR"/>
    <n v="116.87664041994749"/>
    <n v="1418623200"/>
    <n v="103.98131932282546"/>
    <n v="1419660000"/>
    <b v="0"/>
    <b v="1"/>
    <s v="theater/plays"/>
    <x v="3"/>
    <x v="3"/>
  </r>
  <r>
    <n v="436"/>
    <s v="King-Nguyen"/>
    <s v="Open-source incremental throughput"/>
    <n v="1300"/>
    <n v="13678"/>
    <x v="1"/>
    <n v="249"/>
    <x v="1"/>
    <s v="USD"/>
    <n v="1052.1538461538462"/>
    <n v="1555736400"/>
    <n v="54.931726907630519"/>
    <n v="1555822800"/>
    <b v="0"/>
    <b v="0"/>
    <s v="music/jazz"/>
    <x v="1"/>
    <x v="17"/>
  </r>
  <r>
    <n v="437"/>
    <s v="Hansen Group"/>
    <s v="Centralized regional interface"/>
    <n v="8100"/>
    <n v="9969"/>
    <x v="1"/>
    <n v="192"/>
    <x v="1"/>
    <s v="USD"/>
    <n v="123.07407407407408"/>
    <n v="1442120400"/>
    <n v="51.921875"/>
    <n v="1442379600"/>
    <b v="0"/>
    <b v="1"/>
    <s v="film &amp; video/animation"/>
    <x v="4"/>
    <x v="10"/>
  </r>
  <r>
    <n v="438"/>
    <s v="Mathis, Hall and Hansen"/>
    <s v="Streamlined web-enabled knowledgebase"/>
    <n v="8300"/>
    <n v="14827"/>
    <x v="1"/>
    <n v="247"/>
    <x v="1"/>
    <s v="USD"/>
    <n v="178.63855421686748"/>
    <n v="1362376800"/>
    <n v="60.02834008097166"/>
    <n v="1364965200"/>
    <b v="0"/>
    <b v="0"/>
    <s v="theater/plays"/>
    <x v="3"/>
    <x v="3"/>
  </r>
  <r>
    <n v="439"/>
    <s v="Cummings Inc"/>
    <s v="Digitized transitional monitoring"/>
    <n v="28400"/>
    <n v="100900"/>
    <x v="1"/>
    <n v="2293"/>
    <x v="1"/>
    <s v="USD"/>
    <n v="355.28169014084506"/>
    <n v="1478408400"/>
    <n v="44.003488879197555"/>
    <n v="1479016800"/>
    <b v="0"/>
    <b v="0"/>
    <s v="film &amp; video/science fiction"/>
    <x v="4"/>
    <x v="22"/>
  </r>
  <r>
    <n v="440"/>
    <s v="Miller-Poole"/>
    <s v="Networked optimal adapter"/>
    <n v="102500"/>
    <n v="165954"/>
    <x v="1"/>
    <n v="3131"/>
    <x v="1"/>
    <s v="USD"/>
    <n v="161.90634146341463"/>
    <n v="1498798800"/>
    <n v="53.003513254551258"/>
    <n v="1499662800"/>
    <b v="0"/>
    <b v="0"/>
    <s v="film &amp; video/television"/>
    <x v="4"/>
    <x v="19"/>
  </r>
  <r>
    <n v="441"/>
    <s v="Rodriguez-West"/>
    <s v="Automated optimal function"/>
    <n v="7000"/>
    <n v="1744"/>
    <x v="0"/>
    <n v="32"/>
    <x v="1"/>
    <s v="USD"/>
    <n v="24.914285714285715"/>
    <n v="1335416400"/>
    <n v="54.5"/>
    <n v="1337835600"/>
    <b v="0"/>
    <b v="0"/>
    <s v="technology/wearables"/>
    <x v="2"/>
    <x v="8"/>
  </r>
  <r>
    <n v="442"/>
    <s v="Calderon, Bradford and Dean"/>
    <s v="Devolved system-worthy framework"/>
    <n v="5400"/>
    <n v="10731"/>
    <x v="1"/>
    <n v="143"/>
    <x v="6"/>
    <s v="EUR"/>
    <n v="198.72222222222223"/>
    <n v="1504328400"/>
    <n v="75.04195804195804"/>
    <n v="1505710800"/>
    <b v="0"/>
    <b v="0"/>
    <s v="theater/plays"/>
    <x v="3"/>
    <x v="3"/>
  </r>
  <r>
    <n v="443"/>
    <s v="Clark-Bowman"/>
    <s v="Stand-alone user-facing service-desk"/>
    <n v="9300"/>
    <n v="3232"/>
    <x v="3"/>
    <n v="90"/>
    <x v="1"/>
    <s v="USD"/>
    <n v="34.752688172043008"/>
    <n v="1285822800"/>
    <n v="35.911111111111111"/>
    <n v="1287464400"/>
    <b v="0"/>
    <b v="0"/>
    <s v="theater/plays"/>
    <x v="3"/>
    <x v="3"/>
  </r>
  <r>
    <n v="444"/>
    <s v="Hensley Ltd"/>
    <s v="Versatile global attitude"/>
    <n v="6200"/>
    <n v="10938"/>
    <x v="1"/>
    <n v="296"/>
    <x v="1"/>
    <s v="USD"/>
    <n v="176.41935483870967"/>
    <n v="1311483600"/>
    <n v="36.952702702702702"/>
    <n v="1311656400"/>
    <b v="0"/>
    <b v="1"/>
    <s v="music/indie rock"/>
    <x v="1"/>
    <x v="7"/>
  </r>
  <r>
    <n v="445"/>
    <s v="Anderson-Pearson"/>
    <s v="Intuitive demand-driven Local Area Network"/>
    <n v="2100"/>
    <n v="10739"/>
    <x v="1"/>
    <n v="170"/>
    <x v="1"/>
    <s v="USD"/>
    <n v="511.38095238095235"/>
    <n v="1291356000"/>
    <n v="63.170588235294119"/>
    <n v="1293170400"/>
    <b v="0"/>
    <b v="1"/>
    <s v="theater/plays"/>
    <x v="3"/>
    <x v="3"/>
  </r>
  <r>
    <n v="446"/>
    <s v="Martin, Martin and Solis"/>
    <s v="Assimilated uniform methodology"/>
    <n v="6800"/>
    <n v="5579"/>
    <x v="0"/>
    <n v="186"/>
    <x v="1"/>
    <s v="USD"/>
    <n v="82.044117647058826"/>
    <n v="1355810400"/>
    <n v="29.99462365591398"/>
    <n v="1355983200"/>
    <b v="0"/>
    <b v="0"/>
    <s v="technology/wearables"/>
    <x v="2"/>
    <x v="8"/>
  </r>
  <r>
    <n v="447"/>
    <s v="Harrington-Harper"/>
    <s v="Self-enabling next generation algorithm"/>
    <n v="155200"/>
    <n v="37754"/>
    <x v="3"/>
    <n v="439"/>
    <x v="4"/>
    <s v="GBP"/>
    <n v="24.326030927835053"/>
    <n v="1513663200"/>
    <n v="86"/>
    <n v="1515045600"/>
    <b v="0"/>
    <b v="0"/>
    <s v="film &amp; video/television"/>
    <x v="4"/>
    <x v="19"/>
  </r>
  <r>
    <n v="448"/>
    <s v="Price and Sons"/>
    <s v="Object-based demand-driven strategy"/>
    <n v="89900"/>
    <n v="45384"/>
    <x v="0"/>
    <n v="605"/>
    <x v="1"/>
    <s v="USD"/>
    <n v="50.482758620689658"/>
    <n v="1365915600"/>
    <n v="75.014876033057845"/>
    <n v="1366088400"/>
    <b v="0"/>
    <b v="1"/>
    <s v="games/video games"/>
    <x v="6"/>
    <x v="11"/>
  </r>
  <r>
    <n v="449"/>
    <s v="Cuevas-Morales"/>
    <s v="Public-key coherent ability"/>
    <n v="900"/>
    <n v="8703"/>
    <x v="1"/>
    <n v="86"/>
    <x v="3"/>
    <s v="DKK"/>
    <n v="967"/>
    <n v="1551852000"/>
    <n v="101.19767441860465"/>
    <n v="1553317200"/>
    <b v="0"/>
    <b v="0"/>
    <s v="games/video games"/>
    <x v="6"/>
    <x v="11"/>
  </r>
  <r>
    <n v="450"/>
    <s v="Delgado-Hatfield"/>
    <s v="Up-sized composite success"/>
    <n v="100"/>
    <n v="4"/>
    <x v="0"/>
    <n v="1"/>
    <x v="0"/>
    <s v="CAD"/>
    <n v="4"/>
    <n v="1540098000"/>
    <n v="4"/>
    <n v="1542088800"/>
    <b v="0"/>
    <b v="0"/>
    <s v="film &amp; video/animation"/>
    <x v="4"/>
    <x v="10"/>
  </r>
  <r>
    <n v="451"/>
    <s v="Padilla-Porter"/>
    <s v="Innovative exuding matrix"/>
    <n v="148400"/>
    <n v="182302"/>
    <x v="1"/>
    <n v="6286"/>
    <x v="1"/>
    <s v="USD"/>
    <n v="122.84501347708894"/>
    <n v="1500440400"/>
    <n v="29.001272669424118"/>
    <n v="1503118800"/>
    <b v="0"/>
    <b v="0"/>
    <s v="music/rock"/>
    <x v="1"/>
    <x v="1"/>
  </r>
  <r>
    <n v="452"/>
    <s v="Morris Group"/>
    <s v="Realigned impactful artificial intelligence"/>
    <n v="4800"/>
    <n v="3045"/>
    <x v="0"/>
    <n v="31"/>
    <x v="1"/>
    <s v="USD"/>
    <n v="63.4375"/>
    <n v="1278392400"/>
    <n v="98.225806451612897"/>
    <n v="1278478800"/>
    <b v="0"/>
    <b v="0"/>
    <s v="film &amp; video/drama"/>
    <x v="4"/>
    <x v="6"/>
  </r>
  <r>
    <n v="453"/>
    <s v="Saunders Ltd"/>
    <s v="Multi-layered multi-tasking secured line"/>
    <n v="182400"/>
    <n v="102749"/>
    <x v="0"/>
    <n v="1181"/>
    <x v="1"/>
    <s v="USD"/>
    <n v="56.331688596491226"/>
    <n v="1480572000"/>
    <n v="87.001693480101608"/>
    <n v="1484114400"/>
    <b v="0"/>
    <b v="0"/>
    <s v="film &amp; video/science fiction"/>
    <x v="4"/>
    <x v="22"/>
  </r>
  <r>
    <n v="454"/>
    <s v="Woods Inc"/>
    <s v="Upgradable upward-trending portal"/>
    <n v="4000"/>
    <n v="1763"/>
    <x v="0"/>
    <n v="39"/>
    <x v="1"/>
    <s v="USD"/>
    <n v="44.074999999999996"/>
    <n v="1382331600"/>
    <n v="45.205128205128204"/>
    <n v="1385445600"/>
    <b v="0"/>
    <b v="1"/>
    <s v="film &amp; video/drama"/>
    <x v="4"/>
    <x v="6"/>
  </r>
  <r>
    <n v="455"/>
    <s v="Villanueva, Wright and Richardson"/>
    <s v="Profit-focused global product"/>
    <n v="116500"/>
    <n v="137904"/>
    <x v="1"/>
    <n v="3727"/>
    <x v="1"/>
    <s v="USD"/>
    <n v="118.37253218884121"/>
    <n v="1316754000"/>
    <n v="37.001341561577675"/>
    <n v="1318741200"/>
    <b v="0"/>
    <b v="0"/>
    <s v="theater/plays"/>
    <x v="3"/>
    <x v="3"/>
  </r>
  <r>
    <n v="456"/>
    <s v="Wilson, Brooks and Clark"/>
    <s v="Operative well-modulated data-warehouse"/>
    <n v="146400"/>
    <n v="152438"/>
    <x v="1"/>
    <n v="1605"/>
    <x v="1"/>
    <s v="USD"/>
    <n v="104.1243169398907"/>
    <n v="1518242400"/>
    <n v="94.976947040498445"/>
    <n v="1518242400"/>
    <b v="0"/>
    <b v="1"/>
    <s v="music/indie rock"/>
    <x v="1"/>
    <x v="7"/>
  </r>
  <r>
    <n v="457"/>
    <s v="Sheppard, Smith and Spence"/>
    <s v="Cloned asymmetric functionalities"/>
    <n v="5000"/>
    <n v="1332"/>
    <x v="0"/>
    <n v="46"/>
    <x v="1"/>
    <s v="USD"/>
    <n v="26.640000000000004"/>
    <n v="1476421200"/>
    <n v="28.956521739130434"/>
    <n v="1476594000"/>
    <b v="0"/>
    <b v="0"/>
    <s v="theater/plays"/>
    <x v="3"/>
    <x v="3"/>
  </r>
  <r>
    <n v="458"/>
    <s v="Wise, Thompson and Allen"/>
    <s v="Pre-emptive neutral portal"/>
    <n v="33800"/>
    <n v="118706"/>
    <x v="1"/>
    <n v="2120"/>
    <x v="1"/>
    <s v="USD"/>
    <n v="351.20118343195264"/>
    <n v="1269752400"/>
    <n v="55.993396226415094"/>
    <n v="1273554000"/>
    <b v="0"/>
    <b v="0"/>
    <s v="theater/plays"/>
    <x v="3"/>
    <x v="3"/>
  </r>
  <r>
    <n v="459"/>
    <s v="Lane, Ryan and Chapman"/>
    <s v="Switchable demand-driven help-desk"/>
    <n v="6300"/>
    <n v="5674"/>
    <x v="0"/>
    <n v="105"/>
    <x v="1"/>
    <s v="USD"/>
    <n v="90.063492063492063"/>
    <n v="1419746400"/>
    <n v="54.038095238095238"/>
    <n v="1421906400"/>
    <b v="0"/>
    <b v="0"/>
    <s v="film &amp; video/documentary"/>
    <x v="4"/>
    <x v="4"/>
  </r>
  <r>
    <n v="460"/>
    <s v="Rich, Alvarez and King"/>
    <s v="Business-focused static ability"/>
    <n v="2400"/>
    <n v="4119"/>
    <x v="1"/>
    <n v="50"/>
    <x v="1"/>
    <s v="USD"/>
    <n v="171.625"/>
    <n v="1281330000"/>
    <n v="82.38"/>
    <n v="1281589200"/>
    <b v="0"/>
    <b v="0"/>
    <s v="theater/plays"/>
    <x v="3"/>
    <x v="3"/>
  </r>
  <r>
    <n v="461"/>
    <s v="Terry-Salinas"/>
    <s v="Networked secondary structure"/>
    <n v="98800"/>
    <n v="139354"/>
    <x v="1"/>
    <n v="2080"/>
    <x v="1"/>
    <s v="USD"/>
    <n v="141.04655870445345"/>
    <n v="1398661200"/>
    <n v="66.997115384615384"/>
    <n v="1400389200"/>
    <b v="0"/>
    <b v="0"/>
    <s v="film &amp; video/drama"/>
    <x v="4"/>
    <x v="6"/>
  </r>
  <r>
    <n v="462"/>
    <s v="Wang-Rodriguez"/>
    <s v="Total multimedia website"/>
    <n v="188800"/>
    <n v="57734"/>
    <x v="0"/>
    <n v="535"/>
    <x v="1"/>
    <s v="USD"/>
    <n v="30.57944915254237"/>
    <n v="1359525600"/>
    <n v="107.91401869158878"/>
    <n v="1362808800"/>
    <b v="0"/>
    <b v="0"/>
    <s v="games/mobile games"/>
    <x v="6"/>
    <x v="20"/>
  </r>
  <r>
    <n v="463"/>
    <s v="Mckee-Hill"/>
    <s v="Cross-platform upward-trending parallelism"/>
    <n v="134300"/>
    <n v="145265"/>
    <x v="1"/>
    <n v="2105"/>
    <x v="1"/>
    <s v="USD"/>
    <n v="108.16455696202532"/>
    <n v="1388469600"/>
    <n v="69.009501187648453"/>
    <n v="1388815200"/>
    <b v="0"/>
    <b v="0"/>
    <s v="film &amp; video/animation"/>
    <x v="4"/>
    <x v="10"/>
  </r>
  <r>
    <n v="464"/>
    <s v="Gomez LLC"/>
    <s v="Pre-emptive mission-critical hardware"/>
    <n v="71200"/>
    <n v="95020"/>
    <x v="1"/>
    <n v="2436"/>
    <x v="1"/>
    <s v="USD"/>
    <n v="133.45505617977528"/>
    <n v="1518328800"/>
    <n v="39.006568144499177"/>
    <n v="1519538400"/>
    <b v="0"/>
    <b v="0"/>
    <s v="theater/plays"/>
    <x v="3"/>
    <x v="3"/>
  </r>
  <r>
    <n v="465"/>
    <s v="Gonzalez-Robbins"/>
    <s v="Up-sized responsive protocol"/>
    <n v="4700"/>
    <n v="8829"/>
    <x v="1"/>
    <n v="80"/>
    <x v="1"/>
    <s v="USD"/>
    <n v="187.85106382978722"/>
    <n v="1517032800"/>
    <n v="110.3625"/>
    <n v="1517810400"/>
    <b v="0"/>
    <b v="0"/>
    <s v="publishing/translations"/>
    <x v="5"/>
    <x v="18"/>
  </r>
  <r>
    <n v="466"/>
    <s v="Obrien and Sons"/>
    <s v="Pre-emptive transitional frame"/>
    <n v="1200"/>
    <n v="3984"/>
    <x v="1"/>
    <n v="42"/>
    <x v="1"/>
    <s v="USD"/>
    <n v="332"/>
    <n v="1368594000"/>
    <n v="94.857142857142861"/>
    <n v="1370581200"/>
    <b v="0"/>
    <b v="1"/>
    <s v="technology/wearables"/>
    <x v="2"/>
    <x v="8"/>
  </r>
  <r>
    <n v="467"/>
    <s v="Shaw Ltd"/>
    <s v="Profit-focused content-based application"/>
    <n v="1400"/>
    <n v="8053"/>
    <x v="1"/>
    <n v="139"/>
    <x v="0"/>
    <s v="CAD"/>
    <n v="575.21428571428578"/>
    <n v="1448258400"/>
    <n v="57.935251798561154"/>
    <n v="1448863200"/>
    <b v="0"/>
    <b v="1"/>
    <s v="technology/web"/>
    <x v="2"/>
    <x v="2"/>
  </r>
  <r>
    <n v="468"/>
    <s v="Hughes Inc"/>
    <s v="Streamlined neutral analyzer"/>
    <n v="4000"/>
    <n v="1620"/>
    <x v="0"/>
    <n v="16"/>
    <x v="1"/>
    <s v="USD"/>
    <n v="40.5"/>
    <n v="1555218000"/>
    <n v="101.25"/>
    <n v="1556600400"/>
    <b v="0"/>
    <b v="0"/>
    <s v="theater/plays"/>
    <x v="3"/>
    <x v="3"/>
  </r>
  <r>
    <n v="469"/>
    <s v="Olsen-Ryan"/>
    <s v="Assimilated neutral utilization"/>
    <n v="5600"/>
    <n v="10328"/>
    <x v="1"/>
    <n v="159"/>
    <x v="1"/>
    <s v="USD"/>
    <n v="184.42857142857144"/>
    <n v="1431925200"/>
    <n v="64.95597484276729"/>
    <n v="1432098000"/>
    <b v="0"/>
    <b v="0"/>
    <s v="film &amp; video/drama"/>
    <x v="4"/>
    <x v="6"/>
  </r>
  <r>
    <n v="470"/>
    <s v="Grimes, Holland and Sloan"/>
    <s v="Extended dedicated archive"/>
    <n v="3600"/>
    <n v="10289"/>
    <x v="1"/>
    <n v="381"/>
    <x v="1"/>
    <s v="USD"/>
    <n v="285.80555555555554"/>
    <n v="1481522400"/>
    <n v="27.00524934383202"/>
    <n v="1482127200"/>
    <b v="0"/>
    <b v="0"/>
    <s v="technology/wearables"/>
    <x v="2"/>
    <x v="8"/>
  </r>
  <r>
    <n v="471"/>
    <s v="Perry and Sons"/>
    <s v="Configurable static help-desk"/>
    <n v="3100"/>
    <n v="9889"/>
    <x v="1"/>
    <n v="194"/>
    <x v="4"/>
    <s v="GBP"/>
    <n v="319"/>
    <n v="1335934800"/>
    <n v="50.97422680412371"/>
    <n v="1335934800"/>
    <b v="0"/>
    <b v="1"/>
    <s v="food/food trucks"/>
    <x v="0"/>
    <x v="0"/>
  </r>
  <r>
    <n v="472"/>
    <s v="Turner, Young and Collins"/>
    <s v="Self-enabling clear-thinking framework"/>
    <n v="153800"/>
    <n v="60342"/>
    <x v="0"/>
    <n v="575"/>
    <x v="1"/>
    <s v="USD"/>
    <n v="39.234070221066318"/>
    <n v="1552280400"/>
    <n v="104.94260869565217"/>
    <n v="1556946000"/>
    <b v="0"/>
    <b v="0"/>
    <s v="music/rock"/>
    <x v="1"/>
    <x v="1"/>
  </r>
  <r>
    <n v="473"/>
    <s v="Richardson Inc"/>
    <s v="Assimilated fault-tolerant capacity"/>
    <n v="5000"/>
    <n v="8907"/>
    <x v="1"/>
    <n v="106"/>
    <x v="1"/>
    <s v="USD"/>
    <n v="178.14000000000001"/>
    <n v="1529989200"/>
    <n v="84.028301886792448"/>
    <n v="1530075600"/>
    <b v="0"/>
    <b v="0"/>
    <s v="music/electric music"/>
    <x v="1"/>
    <x v="5"/>
  </r>
  <r>
    <n v="474"/>
    <s v="Santos-Young"/>
    <s v="Enhanced neutral ability"/>
    <n v="4000"/>
    <n v="14606"/>
    <x v="1"/>
    <n v="142"/>
    <x v="1"/>
    <s v="USD"/>
    <n v="365.15"/>
    <n v="1418709600"/>
    <n v="102.85915492957747"/>
    <n v="1418796000"/>
    <b v="0"/>
    <b v="0"/>
    <s v="film &amp; video/television"/>
    <x v="4"/>
    <x v="19"/>
  </r>
  <r>
    <n v="475"/>
    <s v="Nichols Ltd"/>
    <s v="Function-based attitude-oriented groupware"/>
    <n v="7400"/>
    <n v="8432"/>
    <x v="1"/>
    <n v="211"/>
    <x v="1"/>
    <s v="USD"/>
    <n v="113.94594594594594"/>
    <n v="1372136400"/>
    <n v="39.962085308056871"/>
    <n v="1372482000"/>
    <b v="0"/>
    <b v="1"/>
    <s v="publishing/translations"/>
    <x v="5"/>
    <x v="18"/>
  </r>
  <r>
    <n v="476"/>
    <s v="Murphy PLC"/>
    <s v="Optional solution-oriented instruction set"/>
    <n v="191500"/>
    <n v="57122"/>
    <x v="0"/>
    <n v="1120"/>
    <x v="1"/>
    <s v="USD"/>
    <n v="29.828720626631856"/>
    <n v="1533877200"/>
    <n v="51.001785714285717"/>
    <n v="1534395600"/>
    <b v="0"/>
    <b v="0"/>
    <s v="publishing/fiction"/>
    <x v="5"/>
    <x v="13"/>
  </r>
  <r>
    <n v="477"/>
    <s v="Hogan, Porter and Rivera"/>
    <s v="Organic object-oriented core"/>
    <n v="8500"/>
    <n v="4613"/>
    <x v="0"/>
    <n v="113"/>
    <x v="1"/>
    <s v="USD"/>
    <n v="54.270588235294113"/>
    <n v="1309064400"/>
    <n v="40.823008849557525"/>
    <n v="1311397200"/>
    <b v="0"/>
    <b v="0"/>
    <s v="film &amp; video/science fiction"/>
    <x v="4"/>
    <x v="22"/>
  </r>
  <r>
    <n v="478"/>
    <s v="Lyons LLC"/>
    <s v="Balanced impactful circuit"/>
    <n v="68800"/>
    <n v="162603"/>
    <x v="1"/>
    <n v="2756"/>
    <x v="1"/>
    <s v="USD"/>
    <n v="236.34156976744185"/>
    <n v="1425877200"/>
    <n v="58.999637155297535"/>
    <n v="1426914000"/>
    <b v="0"/>
    <b v="0"/>
    <s v="technology/wearables"/>
    <x v="2"/>
    <x v="8"/>
  </r>
  <r>
    <n v="479"/>
    <s v="Long-Greene"/>
    <s v="Future-proofed heuristic encryption"/>
    <n v="2400"/>
    <n v="12310"/>
    <x v="1"/>
    <n v="173"/>
    <x v="4"/>
    <s v="GBP"/>
    <n v="512.91666666666663"/>
    <n v="1501304400"/>
    <n v="71.156069364161851"/>
    <n v="1501477200"/>
    <b v="0"/>
    <b v="0"/>
    <s v="food/food trucks"/>
    <x v="0"/>
    <x v="0"/>
  </r>
  <r>
    <n v="480"/>
    <s v="Robles-Hudson"/>
    <s v="Balanced bifurcated leverage"/>
    <n v="8600"/>
    <n v="8656"/>
    <x v="1"/>
    <n v="87"/>
    <x v="1"/>
    <s v="USD"/>
    <n v="100.65116279069768"/>
    <n v="1268287200"/>
    <n v="99.494252873563212"/>
    <n v="1269061200"/>
    <b v="0"/>
    <b v="1"/>
    <s v="photography/photography books"/>
    <x v="7"/>
    <x v="14"/>
  </r>
  <r>
    <n v="481"/>
    <s v="Mcclure LLC"/>
    <s v="Sharable discrete budgetary management"/>
    <n v="196600"/>
    <n v="159931"/>
    <x v="0"/>
    <n v="1538"/>
    <x v="1"/>
    <s v="USD"/>
    <n v="81.348423194303152"/>
    <n v="1412139600"/>
    <n v="103.98634590377114"/>
    <n v="1415772000"/>
    <b v="0"/>
    <b v="1"/>
    <s v="theater/plays"/>
    <x v="3"/>
    <x v="3"/>
  </r>
  <r>
    <n v="482"/>
    <s v="Martin, Russell and Baker"/>
    <s v="Focused solution-oriented instruction set"/>
    <n v="4200"/>
    <n v="689"/>
    <x v="0"/>
    <n v="9"/>
    <x v="1"/>
    <s v="USD"/>
    <n v="16.404761904761905"/>
    <n v="1330063200"/>
    <n v="76.555555555555557"/>
    <n v="1331013600"/>
    <b v="0"/>
    <b v="1"/>
    <s v="publishing/fiction"/>
    <x v="5"/>
    <x v="13"/>
  </r>
  <r>
    <n v="483"/>
    <s v="Rice-Parker"/>
    <s v="Down-sized actuating infrastructure"/>
    <n v="91400"/>
    <n v="48236"/>
    <x v="0"/>
    <n v="554"/>
    <x v="1"/>
    <s v="USD"/>
    <n v="52.774617067833695"/>
    <n v="1576130400"/>
    <n v="87.068592057761734"/>
    <n v="1576735200"/>
    <b v="0"/>
    <b v="0"/>
    <s v="theater/plays"/>
    <x v="3"/>
    <x v="3"/>
  </r>
  <r>
    <n v="484"/>
    <s v="Landry Inc"/>
    <s v="Synergistic cohesive adapter"/>
    <n v="29600"/>
    <n v="77021"/>
    <x v="1"/>
    <n v="1572"/>
    <x v="4"/>
    <s v="GBP"/>
    <n v="260.20608108108109"/>
    <n v="1407128400"/>
    <n v="48.99554707379135"/>
    <n v="1411362000"/>
    <b v="0"/>
    <b v="1"/>
    <s v="food/food trucks"/>
    <x v="0"/>
    <x v="0"/>
  </r>
  <r>
    <n v="485"/>
    <s v="Richards-Davis"/>
    <s v="Quality-focused mission-critical structure"/>
    <n v="90600"/>
    <n v="27844"/>
    <x v="0"/>
    <n v="648"/>
    <x v="4"/>
    <s v="GBP"/>
    <n v="30.73289183222958"/>
    <n v="1560142800"/>
    <n v="42.969135802469133"/>
    <n v="1563685200"/>
    <b v="0"/>
    <b v="0"/>
    <s v="theater/plays"/>
    <x v="3"/>
    <x v="3"/>
  </r>
  <r>
    <n v="486"/>
    <s v="Davis, Cox and Fox"/>
    <s v="Compatible exuding Graphical User Interface"/>
    <n v="5200"/>
    <n v="702"/>
    <x v="0"/>
    <n v="21"/>
    <x v="4"/>
    <s v="GBP"/>
    <n v="13.5"/>
    <n v="1520575200"/>
    <n v="33.428571428571431"/>
    <n v="1521867600"/>
    <b v="0"/>
    <b v="1"/>
    <s v="publishing/translations"/>
    <x v="5"/>
    <x v="18"/>
  </r>
  <r>
    <n v="487"/>
    <s v="Smith-Wallace"/>
    <s v="Monitored 24/7 time-frame"/>
    <n v="110300"/>
    <n v="197024"/>
    <x v="1"/>
    <n v="2346"/>
    <x v="1"/>
    <s v="USD"/>
    <n v="178.62556663644605"/>
    <n v="1492664400"/>
    <n v="83.982949701619773"/>
    <n v="1495515600"/>
    <b v="0"/>
    <b v="0"/>
    <s v="theater/plays"/>
    <x v="3"/>
    <x v="3"/>
  </r>
  <r>
    <n v="488"/>
    <s v="Cordova, Shaw and Wang"/>
    <s v="Virtual secondary open architecture"/>
    <n v="5300"/>
    <n v="11663"/>
    <x v="1"/>
    <n v="115"/>
    <x v="1"/>
    <s v="USD"/>
    <n v="220.0566037735849"/>
    <n v="1454479200"/>
    <n v="101.41739130434783"/>
    <n v="1455948000"/>
    <b v="0"/>
    <b v="0"/>
    <s v="theater/plays"/>
    <x v="3"/>
    <x v="3"/>
  </r>
  <r>
    <n v="489"/>
    <s v="Clark Inc"/>
    <s v="Down-sized mobile time-frame"/>
    <n v="9200"/>
    <n v="9339"/>
    <x v="1"/>
    <n v="85"/>
    <x v="6"/>
    <s v="EUR"/>
    <n v="101.5108695652174"/>
    <n v="1281934800"/>
    <n v="109.87058823529412"/>
    <n v="1282366800"/>
    <b v="0"/>
    <b v="0"/>
    <s v="technology/wearables"/>
    <x v="2"/>
    <x v="8"/>
  </r>
  <r>
    <n v="490"/>
    <s v="Young and Sons"/>
    <s v="Innovative disintermediate encryption"/>
    <n v="2400"/>
    <n v="4596"/>
    <x v="1"/>
    <n v="144"/>
    <x v="1"/>
    <s v="USD"/>
    <n v="191.5"/>
    <n v="1573970400"/>
    <n v="31.916666666666668"/>
    <n v="1574575200"/>
    <b v="0"/>
    <b v="0"/>
    <s v="journalism/audio"/>
    <x v="8"/>
    <x v="23"/>
  </r>
  <r>
    <n v="491"/>
    <s v="Henson PLC"/>
    <s v="Universal contextually-based knowledgebase"/>
    <n v="56800"/>
    <n v="173437"/>
    <x v="1"/>
    <n v="2443"/>
    <x v="1"/>
    <s v="USD"/>
    <n v="305.34683098591546"/>
    <n v="1372654800"/>
    <n v="70.993450675399103"/>
    <n v="1374901200"/>
    <b v="0"/>
    <b v="1"/>
    <s v="food/food trucks"/>
    <x v="0"/>
    <x v="0"/>
  </r>
  <r>
    <n v="492"/>
    <s v="Garcia Group"/>
    <s v="Persevering interactive matrix"/>
    <n v="191000"/>
    <n v="45831"/>
    <x v="3"/>
    <n v="595"/>
    <x v="1"/>
    <s v="USD"/>
    <n v="23.995287958115181"/>
    <n v="1275886800"/>
    <n v="77.026890756302521"/>
    <n v="1278910800"/>
    <b v="1"/>
    <b v="1"/>
    <s v="film &amp; video/shorts"/>
    <x v="4"/>
    <x v="12"/>
  </r>
  <r>
    <n v="493"/>
    <s v="Adams, Walker and Wong"/>
    <s v="Seamless background framework"/>
    <n v="900"/>
    <n v="6514"/>
    <x v="1"/>
    <n v="64"/>
    <x v="1"/>
    <s v="USD"/>
    <n v="723.77777777777771"/>
    <n v="1561784400"/>
    <n v="101.78125"/>
    <n v="1562907600"/>
    <b v="0"/>
    <b v="0"/>
    <s v="photography/photography books"/>
    <x v="7"/>
    <x v="14"/>
  </r>
  <r>
    <n v="494"/>
    <s v="Hopkins-Browning"/>
    <s v="Balanced upward-trending productivity"/>
    <n v="2500"/>
    <n v="13684"/>
    <x v="1"/>
    <n v="268"/>
    <x v="1"/>
    <s v="USD"/>
    <n v="547.36"/>
    <n v="1332392400"/>
    <n v="51.059701492537314"/>
    <n v="1332478800"/>
    <b v="0"/>
    <b v="0"/>
    <s v="technology/wearables"/>
    <x v="2"/>
    <x v="8"/>
  </r>
  <r>
    <n v="495"/>
    <s v="Bell, Edwards and Andersen"/>
    <s v="Centralized clear-thinking solution"/>
    <n v="3200"/>
    <n v="13264"/>
    <x v="1"/>
    <n v="195"/>
    <x v="3"/>
    <s v="DKK"/>
    <n v="414.49999999999994"/>
    <n v="1402376400"/>
    <n v="68.02051282051282"/>
    <n v="1402722000"/>
    <b v="0"/>
    <b v="0"/>
    <s v="theater/plays"/>
    <x v="3"/>
    <x v="3"/>
  </r>
  <r>
    <n v="496"/>
    <s v="Morales Group"/>
    <s v="Optimized bi-directional extranet"/>
    <n v="183800"/>
    <n v="1667"/>
    <x v="0"/>
    <n v="54"/>
    <x v="1"/>
    <s v="USD"/>
    <n v="0.90696409140369971"/>
    <n v="1495342800"/>
    <n v="30.87037037037037"/>
    <n v="1496811600"/>
    <b v="0"/>
    <b v="0"/>
    <s v="film &amp; video/animation"/>
    <x v="4"/>
    <x v="10"/>
  </r>
  <r>
    <n v="497"/>
    <s v="Lucero Group"/>
    <s v="Intuitive actuating benchmark"/>
    <n v="9800"/>
    <n v="3349"/>
    <x v="0"/>
    <n v="120"/>
    <x v="1"/>
    <s v="USD"/>
    <n v="34.173469387755098"/>
    <n v="1482213600"/>
    <n v="27.908333333333335"/>
    <n v="1482213600"/>
    <b v="0"/>
    <b v="1"/>
    <s v="technology/wearables"/>
    <x v="2"/>
    <x v="8"/>
  </r>
  <r>
    <n v="498"/>
    <s v="Smith, Brown and Davis"/>
    <s v="Devolved background project"/>
    <n v="193400"/>
    <n v="46317"/>
    <x v="0"/>
    <n v="579"/>
    <x v="3"/>
    <s v="DKK"/>
    <n v="23.948810754912099"/>
    <n v="1420092000"/>
    <n v="79.994818652849744"/>
    <n v="1420264800"/>
    <b v="0"/>
    <b v="0"/>
    <s v="technology/web"/>
    <x v="2"/>
    <x v="2"/>
  </r>
  <r>
    <n v="499"/>
    <s v="Hunt Group"/>
    <s v="Reverse-engineered executive emulation"/>
    <n v="163800"/>
    <n v="78743"/>
    <x v="0"/>
    <n v="2072"/>
    <x v="1"/>
    <s v="USD"/>
    <n v="48.072649572649574"/>
    <n v="1458018000"/>
    <n v="38.003378378378379"/>
    <n v="1458450000"/>
    <b v="0"/>
    <b v="1"/>
    <s v="film &amp; video/documentary"/>
    <x v="4"/>
    <x v="4"/>
  </r>
  <r>
    <n v="500"/>
    <s v="Valdez Ltd"/>
    <s v="Team-oriented clear-thinking matrix"/>
    <n v="100"/>
    <n v="0"/>
    <x v="0"/>
    <n v="0"/>
    <x v="1"/>
    <s v="USD"/>
    <n v="0"/>
    <n v="1367384400"/>
    <n v="0"/>
    <n v="1369803600"/>
    <b v="0"/>
    <b v="1"/>
    <s v="theater/plays"/>
    <x v="3"/>
    <x v="3"/>
  </r>
  <r>
    <n v="501"/>
    <s v="Mccann-Le"/>
    <s v="Focused coherent methodology"/>
    <n v="153600"/>
    <n v="107743"/>
    <x v="0"/>
    <n v="1796"/>
    <x v="1"/>
    <s v="USD"/>
    <n v="70.145182291666657"/>
    <n v="1363064400"/>
    <n v="59.990534521158132"/>
    <n v="1363237200"/>
    <b v="0"/>
    <b v="0"/>
    <s v="film &amp; video/documentary"/>
    <x v="4"/>
    <x v="4"/>
  </r>
  <r>
    <n v="502"/>
    <s v="Johnson Inc"/>
    <s v="Reduced context-sensitive complexity"/>
    <n v="1300"/>
    <n v="6889"/>
    <x v="1"/>
    <n v="186"/>
    <x v="2"/>
    <s v="AUD"/>
    <n v="529.92307692307691"/>
    <n v="1343365200"/>
    <n v="37.037634408602152"/>
    <n v="1345870800"/>
    <b v="0"/>
    <b v="1"/>
    <s v="games/video games"/>
    <x v="6"/>
    <x v="11"/>
  </r>
  <r>
    <n v="503"/>
    <s v="Collins LLC"/>
    <s v="Decentralized 4thgeneration time-frame"/>
    <n v="25500"/>
    <n v="45983"/>
    <x v="1"/>
    <n v="460"/>
    <x v="1"/>
    <s v="USD"/>
    <n v="180.32549019607845"/>
    <n v="1435726800"/>
    <n v="99.963043478260872"/>
    <n v="1437454800"/>
    <b v="0"/>
    <b v="0"/>
    <s v="film &amp; video/drama"/>
    <x v="4"/>
    <x v="6"/>
  </r>
  <r>
    <n v="504"/>
    <s v="Smith-Miller"/>
    <s v="De-engineered cohesive moderator"/>
    <n v="7500"/>
    <n v="6924"/>
    <x v="0"/>
    <n v="62"/>
    <x v="6"/>
    <s v="EUR"/>
    <n v="92.320000000000007"/>
    <n v="1431925200"/>
    <n v="111.6774193548387"/>
    <n v="1432011600"/>
    <b v="0"/>
    <b v="0"/>
    <s v="music/rock"/>
    <x v="1"/>
    <x v="1"/>
  </r>
  <r>
    <n v="505"/>
    <s v="Jensen-Vargas"/>
    <s v="Ameliorated explicit parallelism"/>
    <n v="89900"/>
    <n v="12497"/>
    <x v="0"/>
    <n v="347"/>
    <x v="1"/>
    <s v="USD"/>
    <n v="13.901001112347053"/>
    <n v="1362722400"/>
    <n v="36.014409221902014"/>
    <n v="1366347600"/>
    <b v="0"/>
    <b v="1"/>
    <s v="publishing/radio &amp; podcasts"/>
    <x v="5"/>
    <x v="15"/>
  </r>
  <r>
    <n v="506"/>
    <s v="Robles, Bell and Gonzalez"/>
    <s v="Customizable background monitoring"/>
    <n v="18000"/>
    <n v="166874"/>
    <x v="1"/>
    <n v="2528"/>
    <x v="1"/>
    <s v="USD"/>
    <n v="927.07777777777767"/>
    <n v="1511416800"/>
    <n v="66.010284810126578"/>
    <n v="1512885600"/>
    <b v="0"/>
    <b v="1"/>
    <s v="theater/plays"/>
    <x v="3"/>
    <x v="3"/>
  </r>
  <r>
    <n v="507"/>
    <s v="Turner, Miller and Francis"/>
    <s v="Compatible well-modulated budgetary management"/>
    <n v="2100"/>
    <n v="837"/>
    <x v="0"/>
    <n v="19"/>
    <x v="1"/>
    <s v="USD"/>
    <n v="39.857142857142861"/>
    <n v="1365483600"/>
    <n v="44.05263157894737"/>
    <n v="1369717200"/>
    <b v="0"/>
    <b v="1"/>
    <s v="technology/web"/>
    <x v="2"/>
    <x v="2"/>
  </r>
  <r>
    <n v="508"/>
    <s v="Roberts Group"/>
    <s v="Up-sized radical pricing structure"/>
    <n v="172700"/>
    <n v="193820"/>
    <x v="1"/>
    <n v="3657"/>
    <x v="1"/>
    <s v="USD"/>
    <n v="112.22929936305732"/>
    <n v="1532840400"/>
    <n v="52.999726551818434"/>
    <n v="1534654800"/>
    <b v="0"/>
    <b v="0"/>
    <s v="theater/plays"/>
    <x v="3"/>
    <x v="3"/>
  </r>
  <r>
    <n v="509"/>
    <s v="White LLC"/>
    <s v="Robust zero-defect project"/>
    <n v="168500"/>
    <n v="119510"/>
    <x v="0"/>
    <n v="1258"/>
    <x v="1"/>
    <s v="USD"/>
    <n v="70.925816023738875"/>
    <n v="1336194000"/>
    <n v="95"/>
    <n v="1337058000"/>
    <b v="0"/>
    <b v="0"/>
    <s v="theater/plays"/>
    <x v="3"/>
    <x v="3"/>
  </r>
  <r>
    <n v="510"/>
    <s v="Best, Miller and Thomas"/>
    <s v="Re-engineered mobile task-force"/>
    <n v="7800"/>
    <n v="9289"/>
    <x v="1"/>
    <n v="131"/>
    <x v="2"/>
    <s v="AUD"/>
    <n v="119.08974358974358"/>
    <n v="1527742800"/>
    <n v="70.908396946564892"/>
    <n v="1529816400"/>
    <b v="0"/>
    <b v="0"/>
    <s v="film &amp; video/drama"/>
    <x v="4"/>
    <x v="6"/>
  </r>
  <r>
    <n v="511"/>
    <s v="Smith-Mullins"/>
    <s v="User-centric intangible neural-net"/>
    <n v="147800"/>
    <n v="35498"/>
    <x v="0"/>
    <n v="362"/>
    <x v="1"/>
    <s v="USD"/>
    <n v="24.017591339648174"/>
    <n v="1564030800"/>
    <n v="98.060773480662988"/>
    <n v="1564894800"/>
    <b v="0"/>
    <b v="0"/>
    <s v="theater/plays"/>
    <x v="3"/>
    <x v="3"/>
  </r>
  <r>
    <n v="512"/>
    <s v="Williams-Walsh"/>
    <s v="Organized explicit core"/>
    <n v="9100"/>
    <n v="12678"/>
    <x v="1"/>
    <n v="239"/>
    <x v="1"/>
    <s v="USD"/>
    <n v="139.31868131868131"/>
    <n v="1404536400"/>
    <n v="53.046025104602514"/>
    <n v="1404622800"/>
    <b v="0"/>
    <b v="1"/>
    <s v="games/video games"/>
    <x v="6"/>
    <x v="11"/>
  </r>
  <r>
    <n v="513"/>
    <s v="Harrison, Blackwell and Mendez"/>
    <s v="Synchronized 6thgeneration adapter"/>
    <n v="8300"/>
    <n v="3260"/>
    <x v="3"/>
    <n v="35"/>
    <x v="1"/>
    <s v="USD"/>
    <n v="39.277108433734945"/>
    <n v="1284008400"/>
    <n v="93.142857142857139"/>
    <n v="1284181200"/>
    <b v="0"/>
    <b v="0"/>
    <s v="film &amp; video/television"/>
    <x v="4"/>
    <x v="19"/>
  </r>
  <r>
    <n v="514"/>
    <s v="Sanchez, Bradley and Flores"/>
    <s v="Centralized motivating capacity"/>
    <n v="138700"/>
    <n v="31123"/>
    <x v="3"/>
    <n v="528"/>
    <x v="5"/>
    <s v="CHF"/>
    <n v="22.439077144917089"/>
    <n v="1386309600"/>
    <n v="58.945075757575758"/>
    <n v="1386741600"/>
    <b v="0"/>
    <b v="1"/>
    <s v="music/rock"/>
    <x v="1"/>
    <x v="1"/>
  </r>
  <r>
    <n v="515"/>
    <s v="Cox LLC"/>
    <s v="Phased 24hour flexibility"/>
    <n v="8600"/>
    <n v="4797"/>
    <x v="0"/>
    <n v="133"/>
    <x v="0"/>
    <s v="CAD"/>
    <n v="55.779069767441861"/>
    <n v="1324620000"/>
    <n v="36.067669172932334"/>
    <n v="1324792800"/>
    <b v="0"/>
    <b v="1"/>
    <s v="theater/plays"/>
    <x v="3"/>
    <x v="3"/>
  </r>
  <r>
    <n v="516"/>
    <s v="Morales-Odonnell"/>
    <s v="Exclusive 5thgeneration structure"/>
    <n v="125400"/>
    <n v="53324"/>
    <x v="0"/>
    <n v="846"/>
    <x v="1"/>
    <s v="USD"/>
    <n v="42.523125996810208"/>
    <n v="1281070800"/>
    <n v="63.030732860520096"/>
    <n v="1284354000"/>
    <b v="0"/>
    <b v="0"/>
    <s v="publishing/nonfiction"/>
    <x v="5"/>
    <x v="9"/>
  </r>
  <r>
    <n v="517"/>
    <s v="Ramirez LLC"/>
    <s v="Multi-tiered maximized orchestration"/>
    <n v="5900"/>
    <n v="6608"/>
    <x v="1"/>
    <n v="78"/>
    <x v="1"/>
    <s v="USD"/>
    <n v="112.00000000000001"/>
    <n v="1493960400"/>
    <n v="84.717948717948715"/>
    <n v="1494392400"/>
    <b v="0"/>
    <b v="0"/>
    <s v="food/food trucks"/>
    <x v="0"/>
    <x v="0"/>
  </r>
  <r>
    <n v="518"/>
    <s v="Ramirez Group"/>
    <s v="Open-architected uniform instruction set"/>
    <n v="8800"/>
    <n v="622"/>
    <x v="0"/>
    <n v="10"/>
    <x v="1"/>
    <s v="USD"/>
    <n v="7.0681818181818183"/>
    <n v="1519365600"/>
    <n v="62.2"/>
    <n v="1519538400"/>
    <b v="0"/>
    <b v="1"/>
    <s v="film &amp; video/animation"/>
    <x v="4"/>
    <x v="10"/>
  </r>
  <r>
    <n v="519"/>
    <s v="Marsh-Coleman"/>
    <s v="Exclusive asymmetric analyzer"/>
    <n v="177700"/>
    <n v="180802"/>
    <x v="1"/>
    <n v="1773"/>
    <x v="1"/>
    <s v="USD"/>
    <n v="101.74563871693867"/>
    <n v="1420696800"/>
    <n v="101.97518330513255"/>
    <n v="1421906400"/>
    <b v="0"/>
    <b v="1"/>
    <s v="music/rock"/>
    <x v="1"/>
    <x v="1"/>
  </r>
  <r>
    <n v="520"/>
    <s v="Frederick, Jenkins and Collins"/>
    <s v="Organic radical collaboration"/>
    <n v="800"/>
    <n v="3406"/>
    <x v="1"/>
    <n v="32"/>
    <x v="1"/>
    <s v="USD"/>
    <n v="425.75"/>
    <n v="1555650000"/>
    <n v="106.4375"/>
    <n v="1555909200"/>
    <b v="0"/>
    <b v="0"/>
    <s v="theater/plays"/>
    <x v="3"/>
    <x v="3"/>
  </r>
  <r>
    <n v="521"/>
    <s v="Wilson Ltd"/>
    <s v="Function-based multi-state software"/>
    <n v="7600"/>
    <n v="11061"/>
    <x v="1"/>
    <n v="369"/>
    <x v="1"/>
    <s v="USD"/>
    <n v="145.53947368421052"/>
    <n v="1471928400"/>
    <n v="29.975609756097562"/>
    <n v="1472446800"/>
    <b v="0"/>
    <b v="1"/>
    <s v="film &amp; video/drama"/>
    <x v="4"/>
    <x v="6"/>
  </r>
  <r>
    <n v="522"/>
    <s v="Cline, Peterson and Lowery"/>
    <s v="Innovative static budgetary management"/>
    <n v="50500"/>
    <n v="16389"/>
    <x v="0"/>
    <n v="191"/>
    <x v="1"/>
    <s v="USD"/>
    <n v="32.453465346534657"/>
    <n v="1341291600"/>
    <n v="85.806282722513089"/>
    <n v="1342328400"/>
    <b v="0"/>
    <b v="0"/>
    <s v="film &amp; video/shorts"/>
    <x v="4"/>
    <x v="12"/>
  </r>
  <r>
    <n v="523"/>
    <s v="Underwood, James and Jones"/>
    <s v="Triple-buffered holistic ability"/>
    <n v="900"/>
    <n v="6303"/>
    <x v="1"/>
    <n v="89"/>
    <x v="1"/>
    <s v="USD"/>
    <n v="700.33333333333326"/>
    <n v="1267682400"/>
    <n v="70.82022471910112"/>
    <n v="1268114400"/>
    <b v="0"/>
    <b v="0"/>
    <s v="film &amp; video/shorts"/>
    <x v="4"/>
    <x v="12"/>
  </r>
  <r>
    <n v="524"/>
    <s v="Johnson-Contreras"/>
    <s v="Diverse scalable superstructure"/>
    <n v="96700"/>
    <n v="81136"/>
    <x v="0"/>
    <n v="1979"/>
    <x v="1"/>
    <s v="USD"/>
    <n v="83.904860392967933"/>
    <n v="1272258000"/>
    <n v="40.998484082870135"/>
    <n v="1273381200"/>
    <b v="0"/>
    <b v="0"/>
    <s v="theater/plays"/>
    <x v="3"/>
    <x v="3"/>
  </r>
  <r>
    <n v="525"/>
    <s v="Greene, Lloyd and Sims"/>
    <s v="Balanced leadingedge data-warehouse"/>
    <n v="2100"/>
    <n v="1768"/>
    <x v="0"/>
    <n v="63"/>
    <x v="1"/>
    <s v="USD"/>
    <n v="84.19047619047619"/>
    <n v="1290492000"/>
    <n v="28.063492063492063"/>
    <n v="1290837600"/>
    <b v="0"/>
    <b v="0"/>
    <s v="technology/wearables"/>
    <x v="2"/>
    <x v="8"/>
  </r>
  <r>
    <n v="526"/>
    <s v="Smith-Sparks"/>
    <s v="Digitized bandwidth-monitored open architecture"/>
    <n v="8300"/>
    <n v="12944"/>
    <x v="1"/>
    <n v="147"/>
    <x v="1"/>
    <s v="USD"/>
    <n v="155.95180722891567"/>
    <n v="1451109600"/>
    <n v="88.054421768707485"/>
    <n v="1454306400"/>
    <b v="0"/>
    <b v="1"/>
    <s v="theater/plays"/>
    <x v="3"/>
    <x v="3"/>
  </r>
  <r>
    <n v="527"/>
    <s v="Rosario-Smith"/>
    <s v="Enterprise-wide intermediate portal"/>
    <n v="189200"/>
    <n v="188480"/>
    <x v="0"/>
    <n v="6080"/>
    <x v="0"/>
    <s v="CAD"/>
    <n v="99.619450317124731"/>
    <n v="1454652000"/>
    <n v="31"/>
    <n v="1457762400"/>
    <b v="0"/>
    <b v="0"/>
    <s v="film &amp; video/animation"/>
    <x v="4"/>
    <x v="10"/>
  </r>
  <r>
    <n v="528"/>
    <s v="Avila, Ford and Welch"/>
    <s v="Focused leadingedge matrix"/>
    <n v="9000"/>
    <n v="7227"/>
    <x v="0"/>
    <n v="80"/>
    <x v="4"/>
    <s v="GBP"/>
    <n v="80.300000000000011"/>
    <n v="1385186400"/>
    <n v="90.337500000000006"/>
    <n v="1389074400"/>
    <b v="0"/>
    <b v="0"/>
    <s v="music/indie rock"/>
    <x v="1"/>
    <x v="7"/>
  </r>
  <r>
    <n v="529"/>
    <s v="Gallegos Inc"/>
    <s v="Seamless logistical encryption"/>
    <n v="5100"/>
    <n v="574"/>
    <x v="0"/>
    <n v="9"/>
    <x v="1"/>
    <s v="USD"/>
    <n v="11.254901960784313"/>
    <n v="1399698000"/>
    <n v="63.777777777777779"/>
    <n v="1402117200"/>
    <b v="0"/>
    <b v="0"/>
    <s v="games/video games"/>
    <x v="6"/>
    <x v="11"/>
  </r>
  <r>
    <n v="530"/>
    <s v="Morrow, Santiago and Soto"/>
    <s v="Stand-alone human-resource workforce"/>
    <n v="105000"/>
    <n v="96328"/>
    <x v="0"/>
    <n v="1784"/>
    <x v="1"/>
    <s v="USD"/>
    <n v="91.740952380952379"/>
    <n v="1283230800"/>
    <n v="53.995515695067262"/>
    <n v="1284440400"/>
    <b v="0"/>
    <b v="1"/>
    <s v="publishing/fiction"/>
    <x v="5"/>
    <x v="13"/>
  </r>
  <r>
    <n v="531"/>
    <s v="Berry-Richardson"/>
    <s v="Automated zero tolerance implementation"/>
    <n v="186700"/>
    <n v="178338"/>
    <x v="2"/>
    <n v="3640"/>
    <x v="5"/>
    <s v="CHF"/>
    <n v="95.521156936261391"/>
    <n v="1384149600"/>
    <n v="48.993956043956047"/>
    <n v="1388988000"/>
    <b v="0"/>
    <b v="0"/>
    <s v="games/video games"/>
    <x v="6"/>
    <x v="11"/>
  </r>
  <r>
    <n v="532"/>
    <s v="Cordova-Torres"/>
    <s v="Pre-emptive grid-enabled contingency"/>
    <n v="1600"/>
    <n v="8046"/>
    <x v="1"/>
    <n v="126"/>
    <x v="0"/>
    <s v="CAD"/>
    <n v="502.87499999999994"/>
    <n v="1516860000"/>
    <n v="63.857142857142854"/>
    <n v="1516946400"/>
    <b v="0"/>
    <b v="0"/>
    <s v="theater/plays"/>
    <x v="3"/>
    <x v="3"/>
  </r>
  <r>
    <n v="533"/>
    <s v="Holt, Bernard and Johnson"/>
    <s v="Multi-lateral didactic encoding"/>
    <n v="115600"/>
    <n v="184086"/>
    <x v="1"/>
    <n v="2218"/>
    <x v="4"/>
    <s v="GBP"/>
    <n v="159.24394463667818"/>
    <n v="1374642000"/>
    <n v="82.996393146979258"/>
    <n v="1377752400"/>
    <b v="0"/>
    <b v="0"/>
    <s v="music/indie rock"/>
    <x v="1"/>
    <x v="7"/>
  </r>
  <r>
    <n v="534"/>
    <s v="Clark, Mccormick and Mendoza"/>
    <s v="Self-enabling didactic orchestration"/>
    <n v="89100"/>
    <n v="13385"/>
    <x v="0"/>
    <n v="243"/>
    <x v="1"/>
    <s v="USD"/>
    <n v="15.022446689113355"/>
    <n v="1534482000"/>
    <n v="55.08230452674897"/>
    <n v="1534568400"/>
    <b v="0"/>
    <b v="1"/>
    <s v="film &amp; video/drama"/>
    <x v="4"/>
    <x v="6"/>
  </r>
  <r>
    <n v="535"/>
    <s v="Garrison LLC"/>
    <s v="Profit-focused 24/7 data-warehouse"/>
    <n v="2600"/>
    <n v="12533"/>
    <x v="1"/>
    <n v="202"/>
    <x v="6"/>
    <s v="EUR"/>
    <n v="482.03846153846149"/>
    <n v="1528434000"/>
    <n v="62.044554455445542"/>
    <n v="1528606800"/>
    <b v="0"/>
    <b v="1"/>
    <s v="theater/plays"/>
    <x v="3"/>
    <x v="3"/>
  </r>
  <r>
    <n v="536"/>
    <s v="Shannon-Olson"/>
    <s v="Enhanced methodical middleware"/>
    <n v="9800"/>
    <n v="14697"/>
    <x v="1"/>
    <n v="140"/>
    <x v="6"/>
    <s v="EUR"/>
    <n v="149.96938775510205"/>
    <n v="1282626000"/>
    <n v="104.97857142857143"/>
    <n v="1284872400"/>
    <b v="0"/>
    <b v="0"/>
    <s v="publishing/fiction"/>
    <x v="5"/>
    <x v="13"/>
  </r>
  <r>
    <n v="537"/>
    <s v="Murillo-Mcfarland"/>
    <s v="Synchronized client-driven projection"/>
    <n v="84400"/>
    <n v="98935"/>
    <x v="1"/>
    <n v="1052"/>
    <x v="3"/>
    <s v="DKK"/>
    <n v="117.22156398104266"/>
    <n v="1535605200"/>
    <n v="94.044676806083643"/>
    <n v="1537592400"/>
    <b v="1"/>
    <b v="1"/>
    <s v="film &amp; video/documentary"/>
    <x v="4"/>
    <x v="4"/>
  </r>
  <r>
    <n v="538"/>
    <s v="Young, Gilbert and Escobar"/>
    <s v="Networked didactic time-frame"/>
    <n v="151300"/>
    <n v="57034"/>
    <x v="0"/>
    <n v="1296"/>
    <x v="1"/>
    <s v="USD"/>
    <n v="37.695968274950431"/>
    <n v="1379826000"/>
    <n v="44.007716049382715"/>
    <n v="1381208400"/>
    <b v="0"/>
    <b v="0"/>
    <s v="games/mobile games"/>
    <x v="6"/>
    <x v="20"/>
  </r>
  <r>
    <n v="539"/>
    <s v="Thomas, Welch and Santana"/>
    <s v="Assimilated exuding toolset"/>
    <n v="9800"/>
    <n v="7120"/>
    <x v="0"/>
    <n v="77"/>
    <x v="1"/>
    <s v="USD"/>
    <n v="72.653061224489804"/>
    <n v="1561957200"/>
    <n v="92.467532467532465"/>
    <n v="1562475600"/>
    <b v="0"/>
    <b v="1"/>
    <s v="food/food trucks"/>
    <x v="0"/>
    <x v="0"/>
  </r>
  <r>
    <n v="540"/>
    <s v="Brown-Pena"/>
    <s v="Front-line client-server secured line"/>
    <n v="5300"/>
    <n v="14097"/>
    <x v="1"/>
    <n v="247"/>
    <x v="1"/>
    <s v="USD"/>
    <n v="265.98113207547169"/>
    <n v="1525496400"/>
    <n v="57.072874493927124"/>
    <n v="1527397200"/>
    <b v="0"/>
    <b v="0"/>
    <s v="photography/photography books"/>
    <x v="7"/>
    <x v="14"/>
  </r>
  <r>
    <n v="541"/>
    <s v="Holder, Caldwell and Vance"/>
    <s v="Polarized systemic Internet solution"/>
    <n v="178000"/>
    <n v="43086"/>
    <x v="0"/>
    <n v="395"/>
    <x v="6"/>
    <s v="EUR"/>
    <n v="24.205617977528089"/>
    <n v="1433912400"/>
    <n v="109.07848101265823"/>
    <n v="1436158800"/>
    <b v="0"/>
    <b v="0"/>
    <s v="games/mobile games"/>
    <x v="6"/>
    <x v="20"/>
  </r>
  <r>
    <n v="542"/>
    <s v="Harrison-Bridges"/>
    <s v="Profit-focused exuding moderator"/>
    <n v="77000"/>
    <n v="1930"/>
    <x v="0"/>
    <n v="49"/>
    <x v="4"/>
    <s v="GBP"/>
    <n v="2.5064935064935066"/>
    <n v="1453442400"/>
    <n v="39.387755102040813"/>
    <n v="1456034400"/>
    <b v="0"/>
    <b v="0"/>
    <s v="music/indie rock"/>
    <x v="1"/>
    <x v="7"/>
  </r>
  <r>
    <n v="543"/>
    <s v="Johnson, Murphy and Peterson"/>
    <s v="Cross-group high-level moderator"/>
    <n v="84900"/>
    <n v="13864"/>
    <x v="0"/>
    <n v="180"/>
    <x v="1"/>
    <s v="USD"/>
    <n v="16.329799764428738"/>
    <n v="1378875600"/>
    <n v="77.022222222222226"/>
    <n v="1380171600"/>
    <b v="0"/>
    <b v="0"/>
    <s v="games/video games"/>
    <x v="6"/>
    <x v="11"/>
  </r>
  <r>
    <n v="544"/>
    <s v="Taylor Inc"/>
    <s v="Public-key 3rdgeneration system engine"/>
    <n v="2800"/>
    <n v="7742"/>
    <x v="1"/>
    <n v="84"/>
    <x v="1"/>
    <s v="USD"/>
    <n v="276.5"/>
    <n v="1452232800"/>
    <n v="92.166666666666671"/>
    <n v="1453356000"/>
    <b v="0"/>
    <b v="0"/>
    <s v="music/rock"/>
    <x v="1"/>
    <x v="1"/>
  </r>
  <r>
    <n v="545"/>
    <s v="Deleon and Sons"/>
    <s v="Organized value-added access"/>
    <n v="184800"/>
    <n v="164109"/>
    <x v="0"/>
    <n v="2690"/>
    <x v="1"/>
    <s v="USD"/>
    <n v="88.803571428571431"/>
    <n v="1577253600"/>
    <n v="61.007063197026021"/>
    <n v="1578981600"/>
    <b v="0"/>
    <b v="0"/>
    <s v="theater/plays"/>
    <x v="3"/>
    <x v="3"/>
  </r>
  <r>
    <n v="546"/>
    <s v="Benjamin, Paul and Ferguson"/>
    <s v="Cloned global Graphical User Interface"/>
    <n v="4200"/>
    <n v="6870"/>
    <x v="1"/>
    <n v="88"/>
    <x v="1"/>
    <s v="USD"/>
    <n v="163.57142857142856"/>
    <n v="1537160400"/>
    <n v="78.068181818181813"/>
    <n v="1537419600"/>
    <b v="0"/>
    <b v="1"/>
    <s v="theater/plays"/>
    <x v="3"/>
    <x v="3"/>
  </r>
  <r>
    <n v="547"/>
    <s v="Hardin-Dixon"/>
    <s v="Focused solution-oriented matrix"/>
    <n v="1300"/>
    <n v="12597"/>
    <x v="1"/>
    <n v="156"/>
    <x v="1"/>
    <s v="USD"/>
    <n v="969"/>
    <n v="1422165600"/>
    <n v="80.75"/>
    <n v="1423202400"/>
    <b v="0"/>
    <b v="0"/>
    <s v="film &amp; video/drama"/>
    <x v="4"/>
    <x v="6"/>
  </r>
  <r>
    <n v="548"/>
    <s v="York-Pitts"/>
    <s v="Monitored discrete toolset"/>
    <n v="66100"/>
    <n v="179074"/>
    <x v="1"/>
    <n v="2985"/>
    <x v="1"/>
    <s v="USD"/>
    <n v="270.91376701966715"/>
    <n v="1459486800"/>
    <n v="59.991289782244557"/>
    <n v="1460610000"/>
    <b v="0"/>
    <b v="0"/>
    <s v="theater/plays"/>
    <x v="3"/>
    <x v="3"/>
  </r>
  <r>
    <n v="549"/>
    <s v="Jarvis and Sons"/>
    <s v="Business-focused intermediate system engine"/>
    <n v="29500"/>
    <n v="83843"/>
    <x v="1"/>
    <n v="762"/>
    <x v="1"/>
    <s v="USD"/>
    <n v="284.21355932203392"/>
    <n v="1369717200"/>
    <n v="110.03018372703411"/>
    <n v="1370494800"/>
    <b v="0"/>
    <b v="0"/>
    <s v="technology/wearables"/>
    <x v="2"/>
    <x v="8"/>
  </r>
  <r>
    <n v="550"/>
    <s v="Morrison-Henderson"/>
    <s v="De-engineered disintermediate encoding"/>
    <n v="100"/>
    <n v="4"/>
    <x v="3"/>
    <n v="1"/>
    <x v="5"/>
    <s v="CHF"/>
    <n v="4"/>
    <n v="1330495200"/>
    <n v="4"/>
    <n v="1332306000"/>
    <b v="0"/>
    <b v="0"/>
    <s v="music/indie rock"/>
    <x v="1"/>
    <x v="7"/>
  </r>
  <r>
    <n v="551"/>
    <s v="Martin-James"/>
    <s v="Streamlined upward-trending analyzer"/>
    <n v="180100"/>
    <n v="105598"/>
    <x v="0"/>
    <n v="2779"/>
    <x v="2"/>
    <s v="AUD"/>
    <n v="58.6329816768462"/>
    <n v="1419055200"/>
    <n v="37.99856063332134"/>
    <n v="1422511200"/>
    <b v="0"/>
    <b v="1"/>
    <s v="technology/web"/>
    <x v="2"/>
    <x v="2"/>
  </r>
  <r>
    <n v="552"/>
    <s v="Mercer, Solomon and Singleton"/>
    <s v="Distributed human-resource policy"/>
    <n v="9000"/>
    <n v="8866"/>
    <x v="0"/>
    <n v="92"/>
    <x v="1"/>
    <s v="USD"/>
    <n v="98.51111111111112"/>
    <n v="1480140000"/>
    <n v="96.369565217391298"/>
    <n v="1480312800"/>
    <b v="0"/>
    <b v="0"/>
    <s v="theater/plays"/>
    <x v="3"/>
    <x v="3"/>
  </r>
  <r>
    <n v="553"/>
    <s v="Dougherty, Austin and Mills"/>
    <s v="De-engineered 5thgeneration contingency"/>
    <n v="170600"/>
    <n v="75022"/>
    <x v="0"/>
    <n v="1028"/>
    <x v="1"/>
    <s v="USD"/>
    <n v="43.975381008206334"/>
    <n v="1293948000"/>
    <n v="72.978599221789878"/>
    <n v="1294034400"/>
    <b v="0"/>
    <b v="0"/>
    <s v="music/rock"/>
    <x v="1"/>
    <x v="1"/>
  </r>
  <r>
    <n v="554"/>
    <s v="Ritter PLC"/>
    <s v="Multi-channeled upward-trending application"/>
    <n v="9500"/>
    <n v="14408"/>
    <x v="1"/>
    <n v="554"/>
    <x v="0"/>
    <s v="CAD"/>
    <n v="151.66315789473683"/>
    <n v="1482127200"/>
    <n v="26.007220216606498"/>
    <n v="1482645600"/>
    <b v="0"/>
    <b v="0"/>
    <s v="music/indie rock"/>
    <x v="1"/>
    <x v="7"/>
  </r>
  <r>
    <n v="555"/>
    <s v="Anderson Group"/>
    <s v="Organic maximized database"/>
    <n v="6300"/>
    <n v="14089"/>
    <x v="1"/>
    <n v="135"/>
    <x v="3"/>
    <s v="DKK"/>
    <n v="223.63492063492063"/>
    <n v="1396414800"/>
    <n v="104.36296296296297"/>
    <n v="1399093200"/>
    <b v="0"/>
    <b v="0"/>
    <s v="music/rock"/>
    <x v="1"/>
    <x v="1"/>
  </r>
  <r>
    <n v="556"/>
    <s v="Smith and Sons"/>
    <s v="Grass-roots 24/7 attitude"/>
    <n v="5200"/>
    <n v="12467"/>
    <x v="1"/>
    <n v="122"/>
    <x v="1"/>
    <s v="USD"/>
    <n v="239.75"/>
    <n v="1315285200"/>
    <n v="102.18852459016394"/>
    <n v="1315890000"/>
    <b v="0"/>
    <b v="1"/>
    <s v="publishing/translations"/>
    <x v="5"/>
    <x v="18"/>
  </r>
  <r>
    <n v="557"/>
    <s v="Lam-Hamilton"/>
    <s v="Team-oriented global strategy"/>
    <n v="6000"/>
    <n v="11960"/>
    <x v="1"/>
    <n v="221"/>
    <x v="1"/>
    <s v="USD"/>
    <n v="199.33333333333334"/>
    <n v="1443762000"/>
    <n v="54.117647058823529"/>
    <n v="1444021200"/>
    <b v="0"/>
    <b v="1"/>
    <s v="film &amp; video/science fiction"/>
    <x v="4"/>
    <x v="22"/>
  </r>
  <r>
    <n v="558"/>
    <s v="Ho Ltd"/>
    <s v="Enhanced client-driven capacity"/>
    <n v="5800"/>
    <n v="7966"/>
    <x v="1"/>
    <n v="126"/>
    <x v="1"/>
    <s v="USD"/>
    <n v="137.34482758620689"/>
    <n v="1456293600"/>
    <n v="63.222222222222221"/>
    <n v="1460005200"/>
    <b v="0"/>
    <b v="0"/>
    <s v="theater/plays"/>
    <x v="3"/>
    <x v="3"/>
  </r>
  <r>
    <n v="559"/>
    <s v="Brown, Estrada and Jensen"/>
    <s v="Exclusive systematic productivity"/>
    <n v="105300"/>
    <n v="106321"/>
    <x v="1"/>
    <n v="1022"/>
    <x v="1"/>
    <s v="USD"/>
    <n v="100.9696106362773"/>
    <n v="1470114000"/>
    <n v="104.03228962818004"/>
    <n v="1470718800"/>
    <b v="0"/>
    <b v="0"/>
    <s v="theater/plays"/>
    <x v="3"/>
    <x v="3"/>
  </r>
  <r>
    <n v="560"/>
    <s v="Hunt LLC"/>
    <s v="Re-engineered radical policy"/>
    <n v="20000"/>
    <n v="158832"/>
    <x v="1"/>
    <n v="3177"/>
    <x v="1"/>
    <s v="USD"/>
    <n v="794.16"/>
    <n v="1321596000"/>
    <n v="49.994334277620396"/>
    <n v="1325052000"/>
    <b v="0"/>
    <b v="0"/>
    <s v="film &amp; video/animation"/>
    <x v="4"/>
    <x v="10"/>
  </r>
  <r>
    <n v="561"/>
    <s v="Fowler-Smith"/>
    <s v="Down-sized logistical adapter"/>
    <n v="3000"/>
    <n v="11091"/>
    <x v="1"/>
    <n v="198"/>
    <x v="5"/>
    <s v="CHF"/>
    <n v="369.7"/>
    <n v="1318827600"/>
    <n v="56.015151515151516"/>
    <n v="1319000400"/>
    <b v="0"/>
    <b v="0"/>
    <s v="theater/plays"/>
    <x v="3"/>
    <x v="3"/>
  </r>
  <r>
    <n v="562"/>
    <s v="Blair Inc"/>
    <s v="Configurable bandwidth-monitored throughput"/>
    <n v="9900"/>
    <n v="1269"/>
    <x v="0"/>
    <n v="26"/>
    <x v="5"/>
    <s v="CHF"/>
    <n v="12.818181818181817"/>
    <n v="1552366800"/>
    <n v="48.807692307692307"/>
    <n v="1552539600"/>
    <b v="0"/>
    <b v="0"/>
    <s v="music/rock"/>
    <x v="1"/>
    <x v="1"/>
  </r>
  <r>
    <n v="563"/>
    <s v="Kelley, Stanton and Sanchez"/>
    <s v="Optional tangible pricing structure"/>
    <n v="3700"/>
    <n v="5107"/>
    <x v="1"/>
    <n v="85"/>
    <x v="2"/>
    <s v="AUD"/>
    <n v="138.02702702702703"/>
    <n v="1542088800"/>
    <n v="60.082352941176474"/>
    <n v="1543816800"/>
    <b v="0"/>
    <b v="0"/>
    <s v="film &amp; video/documentary"/>
    <x v="4"/>
    <x v="4"/>
  </r>
  <r>
    <n v="564"/>
    <s v="Hernandez-Macdonald"/>
    <s v="Organic high-level implementation"/>
    <n v="168700"/>
    <n v="141393"/>
    <x v="0"/>
    <n v="1790"/>
    <x v="1"/>
    <s v="USD"/>
    <n v="83.813278008298752"/>
    <n v="1426395600"/>
    <n v="78.990502793296088"/>
    <n v="1427086800"/>
    <b v="0"/>
    <b v="0"/>
    <s v="theater/plays"/>
    <x v="3"/>
    <x v="3"/>
  </r>
  <r>
    <n v="565"/>
    <s v="Joseph LLC"/>
    <s v="Decentralized logistical collaboration"/>
    <n v="94900"/>
    <n v="194166"/>
    <x v="1"/>
    <n v="3596"/>
    <x v="1"/>
    <s v="USD"/>
    <n v="204.60063224446787"/>
    <n v="1321336800"/>
    <n v="53.99499443826474"/>
    <n v="1323064800"/>
    <b v="0"/>
    <b v="0"/>
    <s v="theater/plays"/>
    <x v="3"/>
    <x v="3"/>
  </r>
  <r>
    <n v="566"/>
    <s v="Webb-Smith"/>
    <s v="Advanced content-based installation"/>
    <n v="9300"/>
    <n v="4124"/>
    <x v="0"/>
    <n v="37"/>
    <x v="1"/>
    <s v="USD"/>
    <n v="44.344086021505376"/>
    <n v="1456293600"/>
    <n v="111.45945945945945"/>
    <n v="1458277200"/>
    <b v="0"/>
    <b v="1"/>
    <s v="music/electric music"/>
    <x v="1"/>
    <x v="5"/>
  </r>
  <r>
    <n v="567"/>
    <s v="Johns PLC"/>
    <s v="Distributed high-level open architecture"/>
    <n v="6800"/>
    <n v="14865"/>
    <x v="1"/>
    <n v="244"/>
    <x v="1"/>
    <s v="USD"/>
    <n v="218.60294117647058"/>
    <n v="1404968400"/>
    <n v="60.922131147540981"/>
    <n v="1405141200"/>
    <b v="0"/>
    <b v="0"/>
    <s v="music/rock"/>
    <x v="1"/>
    <x v="1"/>
  </r>
  <r>
    <n v="568"/>
    <s v="Hardin-Foley"/>
    <s v="Synergized zero tolerance help-desk"/>
    <n v="72400"/>
    <n v="134688"/>
    <x v="1"/>
    <n v="5180"/>
    <x v="1"/>
    <s v="USD"/>
    <n v="186.03314917127071"/>
    <n v="1279170000"/>
    <n v="26.0015444015444"/>
    <n v="1283058000"/>
    <b v="0"/>
    <b v="0"/>
    <s v="theater/plays"/>
    <x v="3"/>
    <x v="3"/>
  </r>
  <r>
    <n v="569"/>
    <s v="Fischer, Fowler and Arnold"/>
    <s v="Extended multi-tasking definition"/>
    <n v="20100"/>
    <n v="47705"/>
    <x v="1"/>
    <n v="589"/>
    <x v="6"/>
    <s v="EUR"/>
    <n v="237.33830845771143"/>
    <n v="1294725600"/>
    <n v="80.993208828522924"/>
    <n v="1295762400"/>
    <b v="0"/>
    <b v="0"/>
    <s v="film &amp; video/animation"/>
    <x v="4"/>
    <x v="10"/>
  </r>
  <r>
    <n v="570"/>
    <s v="Martinez-Juarez"/>
    <s v="Realigned uniform knowledge user"/>
    <n v="31200"/>
    <n v="95364"/>
    <x v="1"/>
    <n v="2725"/>
    <x v="1"/>
    <s v="USD"/>
    <n v="305.65384615384613"/>
    <n v="1419055200"/>
    <n v="34.995963302752294"/>
    <n v="1419573600"/>
    <b v="0"/>
    <b v="1"/>
    <s v="music/rock"/>
    <x v="1"/>
    <x v="1"/>
  </r>
  <r>
    <n v="571"/>
    <s v="Wilson and Sons"/>
    <s v="Monitored grid-enabled model"/>
    <n v="3500"/>
    <n v="3295"/>
    <x v="0"/>
    <n v="35"/>
    <x v="6"/>
    <s v="EUR"/>
    <n v="94.142857142857139"/>
    <n v="1434690000"/>
    <n v="94.142857142857139"/>
    <n v="1438750800"/>
    <b v="0"/>
    <b v="0"/>
    <s v="film &amp; video/shorts"/>
    <x v="4"/>
    <x v="12"/>
  </r>
  <r>
    <n v="572"/>
    <s v="Clements Group"/>
    <s v="Assimilated actuating policy"/>
    <n v="9000"/>
    <n v="4896"/>
    <x v="3"/>
    <n v="94"/>
    <x v="1"/>
    <s v="USD"/>
    <n v="54.400000000000006"/>
    <n v="1443416400"/>
    <n v="52.085106382978722"/>
    <n v="1444798800"/>
    <b v="0"/>
    <b v="1"/>
    <s v="music/rock"/>
    <x v="1"/>
    <x v="1"/>
  </r>
  <r>
    <n v="573"/>
    <s v="Valenzuela-Cook"/>
    <s v="Total incremental productivity"/>
    <n v="6700"/>
    <n v="7496"/>
    <x v="1"/>
    <n v="300"/>
    <x v="1"/>
    <s v="USD"/>
    <n v="111.88059701492537"/>
    <n v="1399006800"/>
    <n v="24.986666666666668"/>
    <n v="1399179600"/>
    <b v="0"/>
    <b v="0"/>
    <s v="journalism/audio"/>
    <x v="8"/>
    <x v="23"/>
  </r>
  <r>
    <n v="574"/>
    <s v="Parker, Haley and Foster"/>
    <s v="Adaptive local task-force"/>
    <n v="2700"/>
    <n v="9967"/>
    <x v="1"/>
    <n v="144"/>
    <x v="1"/>
    <s v="USD"/>
    <n v="369.14814814814815"/>
    <n v="1575698400"/>
    <n v="69.215277777777771"/>
    <n v="1576562400"/>
    <b v="0"/>
    <b v="1"/>
    <s v="food/food trucks"/>
    <x v="0"/>
    <x v="0"/>
  </r>
  <r>
    <n v="575"/>
    <s v="Fuentes LLC"/>
    <s v="Universal zero-defect concept"/>
    <n v="83300"/>
    <n v="52421"/>
    <x v="0"/>
    <n v="558"/>
    <x v="1"/>
    <s v="USD"/>
    <n v="62.930372148859547"/>
    <n v="1400562000"/>
    <n v="93.944444444444443"/>
    <n v="1400821200"/>
    <b v="0"/>
    <b v="1"/>
    <s v="theater/plays"/>
    <x v="3"/>
    <x v="3"/>
  </r>
  <r>
    <n v="576"/>
    <s v="Moran and Sons"/>
    <s v="Object-based bottom-line superstructure"/>
    <n v="9700"/>
    <n v="6298"/>
    <x v="0"/>
    <n v="64"/>
    <x v="1"/>
    <s v="USD"/>
    <n v="64.927835051546396"/>
    <n v="1509512400"/>
    <n v="98.40625"/>
    <n v="1510984800"/>
    <b v="0"/>
    <b v="0"/>
    <s v="theater/plays"/>
    <x v="3"/>
    <x v="3"/>
  </r>
  <r>
    <n v="577"/>
    <s v="Stevens Inc"/>
    <s v="Adaptive 24hour projection"/>
    <n v="8200"/>
    <n v="1546"/>
    <x v="3"/>
    <n v="37"/>
    <x v="1"/>
    <s v="USD"/>
    <n v="18.853658536585368"/>
    <n v="1299823200"/>
    <n v="41.783783783783782"/>
    <n v="1302066000"/>
    <b v="0"/>
    <b v="0"/>
    <s v="music/jazz"/>
    <x v="1"/>
    <x v="17"/>
  </r>
  <r>
    <n v="578"/>
    <s v="Martinez-Johnson"/>
    <s v="Sharable radical toolset"/>
    <n v="96500"/>
    <n v="16168"/>
    <x v="0"/>
    <n v="245"/>
    <x v="1"/>
    <s v="USD"/>
    <n v="16.754404145077721"/>
    <n v="1322719200"/>
    <n v="65.991836734693877"/>
    <n v="1322978400"/>
    <b v="0"/>
    <b v="0"/>
    <s v="film &amp; video/science fiction"/>
    <x v="4"/>
    <x v="22"/>
  </r>
  <r>
    <n v="579"/>
    <s v="Franklin Inc"/>
    <s v="Focused multimedia knowledgebase"/>
    <n v="6200"/>
    <n v="6269"/>
    <x v="1"/>
    <n v="87"/>
    <x v="1"/>
    <s v="USD"/>
    <n v="101.11290322580646"/>
    <n v="1312693200"/>
    <n v="72.05747126436782"/>
    <n v="1313730000"/>
    <b v="0"/>
    <b v="0"/>
    <s v="music/jazz"/>
    <x v="1"/>
    <x v="17"/>
  </r>
  <r>
    <n v="580"/>
    <s v="Perez PLC"/>
    <s v="Seamless 6thgeneration extranet"/>
    <n v="43800"/>
    <n v="149578"/>
    <x v="1"/>
    <n v="3116"/>
    <x v="1"/>
    <s v="USD"/>
    <n v="341.5022831050228"/>
    <n v="1393394400"/>
    <n v="48.003209242618745"/>
    <n v="1394085600"/>
    <b v="0"/>
    <b v="0"/>
    <s v="theater/plays"/>
    <x v="3"/>
    <x v="3"/>
  </r>
  <r>
    <n v="581"/>
    <s v="Sanchez, Cross and Savage"/>
    <s v="Sharable mobile knowledgebase"/>
    <n v="6000"/>
    <n v="3841"/>
    <x v="0"/>
    <n v="71"/>
    <x v="1"/>
    <s v="USD"/>
    <n v="64.016666666666666"/>
    <n v="1304053200"/>
    <n v="54.098591549295776"/>
    <n v="1305349200"/>
    <b v="0"/>
    <b v="0"/>
    <s v="technology/web"/>
    <x v="2"/>
    <x v="2"/>
  </r>
  <r>
    <n v="582"/>
    <s v="Pineda Ltd"/>
    <s v="Cross-group global system engine"/>
    <n v="8700"/>
    <n v="4531"/>
    <x v="0"/>
    <n v="42"/>
    <x v="1"/>
    <s v="USD"/>
    <n v="52.080459770114942"/>
    <n v="1433912400"/>
    <n v="107.88095238095238"/>
    <n v="1434344400"/>
    <b v="0"/>
    <b v="1"/>
    <s v="games/video games"/>
    <x v="6"/>
    <x v="11"/>
  </r>
  <r>
    <n v="583"/>
    <s v="Powell and Sons"/>
    <s v="Centralized clear-thinking conglomeration"/>
    <n v="18900"/>
    <n v="60934"/>
    <x v="1"/>
    <n v="909"/>
    <x v="1"/>
    <s v="USD"/>
    <n v="322.40211640211641"/>
    <n v="1329717600"/>
    <n v="67.034103410341032"/>
    <n v="1331186400"/>
    <b v="0"/>
    <b v="0"/>
    <s v="film &amp; video/documentary"/>
    <x v="4"/>
    <x v="4"/>
  </r>
  <r>
    <n v="584"/>
    <s v="Nunez-Richards"/>
    <s v="De-engineered cohesive system engine"/>
    <n v="86400"/>
    <n v="103255"/>
    <x v="1"/>
    <n v="1613"/>
    <x v="1"/>
    <s v="USD"/>
    <n v="119.50810185185186"/>
    <n v="1335330000"/>
    <n v="64.01425914445133"/>
    <n v="1336539600"/>
    <b v="0"/>
    <b v="0"/>
    <s v="technology/web"/>
    <x v="2"/>
    <x v="2"/>
  </r>
  <r>
    <n v="585"/>
    <s v="Pugh LLC"/>
    <s v="Reactive analyzing function"/>
    <n v="8900"/>
    <n v="13065"/>
    <x v="1"/>
    <n v="136"/>
    <x v="1"/>
    <s v="USD"/>
    <n v="146.79775280898878"/>
    <n v="1268888400"/>
    <n v="96.066176470588232"/>
    <n v="1269752400"/>
    <b v="0"/>
    <b v="0"/>
    <s v="publishing/translations"/>
    <x v="5"/>
    <x v="18"/>
  </r>
  <r>
    <n v="586"/>
    <s v="Rowe-Wong"/>
    <s v="Robust hybrid budgetary management"/>
    <n v="700"/>
    <n v="6654"/>
    <x v="1"/>
    <n v="130"/>
    <x v="1"/>
    <s v="USD"/>
    <n v="950.57142857142856"/>
    <n v="1289973600"/>
    <n v="51.184615384615384"/>
    <n v="1291615200"/>
    <b v="0"/>
    <b v="0"/>
    <s v="music/rock"/>
    <x v="1"/>
    <x v="1"/>
  </r>
  <r>
    <n v="587"/>
    <s v="Williams-Santos"/>
    <s v="Open-source analyzing monitoring"/>
    <n v="9400"/>
    <n v="6852"/>
    <x v="0"/>
    <n v="156"/>
    <x v="0"/>
    <s v="CAD"/>
    <n v="72.893617021276597"/>
    <n v="1547877600"/>
    <n v="43.92307692307692"/>
    <n v="1552366800"/>
    <b v="0"/>
    <b v="1"/>
    <s v="food/food trucks"/>
    <x v="0"/>
    <x v="0"/>
  </r>
  <r>
    <n v="588"/>
    <s v="Weber Inc"/>
    <s v="Up-sized discrete firmware"/>
    <n v="157600"/>
    <n v="124517"/>
    <x v="0"/>
    <n v="1368"/>
    <x v="4"/>
    <s v="GBP"/>
    <n v="79.008248730964468"/>
    <n v="1269493200"/>
    <n v="91.021198830409361"/>
    <n v="1272171600"/>
    <b v="0"/>
    <b v="0"/>
    <s v="theater/plays"/>
    <x v="3"/>
    <x v="3"/>
  </r>
  <r>
    <n v="589"/>
    <s v="Avery, Brown and Parker"/>
    <s v="Exclusive intangible extranet"/>
    <n v="7900"/>
    <n v="5113"/>
    <x v="0"/>
    <n v="102"/>
    <x v="1"/>
    <s v="USD"/>
    <n v="64.721518987341781"/>
    <n v="1436072400"/>
    <n v="50.127450980392155"/>
    <n v="1436677200"/>
    <b v="0"/>
    <b v="0"/>
    <s v="film &amp; video/documentary"/>
    <x v="4"/>
    <x v="4"/>
  </r>
  <r>
    <n v="590"/>
    <s v="Cox Group"/>
    <s v="Synergized analyzing process improvement"/>
    <n v="7100"/>
    <n v="5824"/>
    <x v="0"/>
    <n v="86"/>
    <x v="2"/>
    <s v="AUD"/>
    <n v="82.028169014084511"/>
    <n v="1419141600"/>
    <n v="67.720930232558146"/>
    <n v="1420092000"/>
    <b v="0"/>
    <b v="0"/>
    <s v="publishing/radio &amp; podcasts"/>
    <x v="5"/>
    <x v="15"/>
  </r>
  <r>
    <n v="591"/>
    <s v="Jensen LLC"/>
    <s v="Realigned dedicated system engine"/>
    <n v="600"/>
    <n v="6226"/>
    <x v="1"/>
    <n v="102"/>
    <x v="1"/>
    <s v="USD"/>
    <n v="1037.6666666666667"/>
    <n v="1279083600"/>
    <n v="61.03921568627451"/>
    <n v="1279947600"/>
    <b v="0"/>
    <b v="0"/>
    <s v="games/video games"/>
    <x v="6"/>
    <x v="11"/>
  </r>
  <r>
    <n v="592"/>
    <s v="Brown Inc"/>
    <s v="Object-based bandwidth-monitored concept"/>
    <n v="156800"/>
    <n v="20243"/>
    <x v="0"/>
    <n v="253"/>
    <x v="1"/>
    <s v="USD"/>
    <n v="12.910076530612244"/>
    <n v="1401426000"/>
    <n v="80.011857707509876"/>
    <n v="1402203600"/>
    <b v="0"/>
    <b v="0"/>
    <s v="theater/plays"/>
    <x v="3"/>
    <x v="3"/>
  </r>
  <r>
    <n v="593"/>
    <s v="Hale-Hayes"/>
    <s v="Ameliorated client-driven open system"/>
    <n v="121600"/>
    <n v="188288"/>
    <x v="1"/>
    <n v="4006"/>
    <x v="1"/>
    <s v="USD"/>
    <n v="154.84210526315789"/>
    <n v="1395810000"/>
    <n v="47.001497753369947"/>
    <n v="1396933200"/>
    <b v="0"/>
    <b v="0"/>
    <s v="film &amp; video/animation"/>
    <x v="4"/>
    <x v="10"/>
  </r>
  <r>
    <n v="594"/>
    <s v="Mcbride PLC"/>
    <s v="Upgradable leadingedge Local Area Network"/>
    <n v="157300"/>
    <n v="11167"/>
    <x v="0"/>
    <n v="157"/>
    <x v="1"/>
    <s v="USD"/>
    <n v="7.0991735537190088"/>
    <n v="1467003600"/>
    <n v="71.127388535031841"/>
    <n v="1467262800"/>
    <b v="0"/>
    <b v="1"/>
    <s v="theater/plays"/>
    <x v="3"/>
    <x v="3"/>
  </r>
  <r>
    <n v="595"/>
    <s v="Harris-Jennings"/>
    <s v="Customizable intermediate data-warehouse"/>
    <n v="70300"/>
    <n v="146595"/>
    <x v="1"/>
    <n v="1629"/>
    <x v="1"/>
    <s v="USD"/>
    <n v="208.52773826458036"/>
    <n v="1268715600"/>
    <n v="89.99079189686924"/>
    <n v="1270530000"/>
    <b v="0"/>
    <b v="1"/>
    <s v="theater/plays"/>
    <x v="3"/>
    <x v="3"/>
  </r>
  <r>
    <n v="596"/>
    <s v="Becker-Scott"/>
    <s v="Managed optimizing archive"/>
    <n v="7900"/>
    <n v="7875"/>
    <x v="0"/>
    <n v="183"/>
    <x v="1"/>
    <s v="USD"/>
    <n v="99.683544303797461"/>
    <n v="1457157600"/>
    <n v="43.032786885245905"/>
    <n v="1457762400"/>
    <b v="0"/>
    <b v="1"/>
    <s v="film &amp; video/drama"/>
    <x v="4"/>
    <x v="6"/>
  </r>
  <r>
    <n v="597"/>
    <s v="Todd, Freeman and Henry"/>
    <s v="Diverse systematic projection"/>
    <n v="73800"/>
    <n v="148779"/>
    <x v="1"/>
    <n v="2188"/>
    <x v="1"/>
    <s v="USD"/>
    <n v="201.59756097560978"/>
    <n v="1573970400"/>
    <n v="67.997714808043881"/>
    <n v="1575525600"/>
    <b v="0"/>
    <b v="0"/>
    <s v="theater/plays"/>
    <x v="3"/>
    <x v="3"/>
  </r>
  <r>
    <n v="598"/>
    <s v="Martinez, Garza and Young"/>
    <s v="Up-sized web-enabled info-mediaries"/>
    <n v="108500"/>
    <n v="175868"/>
    <x v="1"/>
    <n v="2409"/>
    <x v="6"/>
    <s v="EUR"/>
    <n v="162.09032258064516"/>
    <n v="1276578000"/>
    <n v="73.004566210045667"/>
    <n v="1279083600"/>
    <b v="0"/>
    <b v="0"/>
    <s v="music/rock"/>
    <x v="1"/>
    <x v="1"/>
  </r>
  <r>
    <n v="599"/>
    <s v="Smith-Ramos"/>
    <s v="Persevering optimizing Graphical User Interface"/>
    <n v="140300"/>
    <n v="5112"/>
    <x v="0"/>
    <n v="82"/>
    <x v="3"/>
    <s v="DKK"/>
    <n v="3.6436208125445471"/>
    <n v="1423720800"/>
    <n v="62.341463414634148"/>
    <n v="1424412000"/>
    <b v="0"/>
    <b v="0"/>
    <s v="film &amp; video/documentary"/>
    <x v="4"/>
    <x v="4"/>
  </r>
  <r>
    <n v="600"/>
    <s v="Brown-George"/>
    <s v="Cross-platform tertiary array"/>
    <n v="100"/>
    <n v="5"/>
    <x v="0"/>
    <n v="1"/>
    <x v="4"/>
    <s v="GBP"/>
    <n v="5"/>
    <n v="1375160400"/>
    <n v="5"/>
    <n v="1376197200"/>
    <b v="0"/>
    <b v="0"/>
    <s v="food/food trucks"/>
    <x v="0"/>
    <x v="0"/>
  </r>
  <r>
    <n v="601"/>
    <s v="Waters and Sons"/>
    <s v="Inverse neutral structure"/>
    <n v="6300"/>
    <n v="13018"/>
    <x v="1"/>
    <n v="194"/>
    <x v="1"/>
    <s v="USD"/>
    <n v="206.63492063492063"/>
    <n v="1401426000"/>
    <n v="67.103092783505161"/>
    <n v="1402894800"/>
    <b v="1"/>
    <b v="0"/>
    <s v="technology/wearables"/>
    <x v="2"/>
    <x v="8"/>
  </r>
  <r>
    <n v="602"/>
    <s v="Brown Ltd"/>
    <s v="Quality-focused system-worthy support"/>
    <n v="71100"/>
    <n v="91176"/>
    <x v="1"/>
    <n v="1140"/>
    <x v="1"/>
    <s v="USD"/>
    <n v="128.23628691983123"/>
    <n v="1433480400"/>
    <n v="79.978947368421046"/>
    <n v="1434430800"/>
    <b v="0"/>
    <b v="0"/>
    <s v="theater/plays"/>
    <x v="3"/>
    <x v="3"/>
  </r>
  <r>
    <n v="603"/>
    <s v="Christian, Yates and Greer"/>
    <s v="Vision-oriented 5thgeneration array"/>
    <n v="5300"/>
    <n v="6342"/>
    <x v="1"/>
    <n v="102"/>
    <x v="1"/>
    <s v="USD"/>
    <n v="119.66037735849055"/>
    <n v="1555563600"/>
    <n v="62.176470588235297"/>
    <n v="1557896400"/>
    <b v="0"/>
    <b v="0"/>
    <s v="theater/plays"/>
    <x v="3"/>
    <x v="3"/>
  </r>
  <r>
    <n v="604"/>
    <s v="Cole, Hernandez and Rodriguez"/>
    <s v="Cross-platform logistical circuit"/>
    <n v="88700"/>
    <n v="151438"/>
    <x v="1"/>
    <n v="2857"/>
    <x v="1"/>
    <s v="USD"/>
    <n v="170.73055242390078"/>
    <n v="1295676000"/>
    <n v="53.005950297514879"/>
    <n v="1297490400"/>
    <b v="0"/>
    <b v="0"/>
    <s v="theater/plays"/>
    <x v="3"/>
    <x v="3"/>
  </r>
  <r>
    <n v="605"/>
    <s v="Ortiz, Valenzuela and Collins"/>
    <s v="Profound solution-oriented matrix"/>
    <n v="3300"/>
    <n v="6178"/>
    <x v="1"/>
    <n v="107"/>
    <x v="1"/>
    <s v="USD"/>
    <n v="187.21212121212122"/>
    <n v="1443848400"/>
    <n v="57.738317757009348"/>
    <n v="1447394400"/>
    <b v="0"/>
    <b v="0"/>
    <s v="publishing/nonfiction"/>
    <x v="5"/>
    <x v="9"/>
  </r>
  <r>
    <n v="606"/>
    <s v="Valencia PLC"/>
    <s v="Extended asynchronous initiative"/>
    <n v="3400"/>
    <n v="6405"/>
    <x v="1"/>
    <n v="160"/>
    <x v="4"/>
    <s v="GBP"/>
    <n v="188.38235294117646"/>
    <n v="1457330400"/>
    <n v="40.03125"/>
    <n v="1458277200"/>
    <b v="0"/>
    <b v="0"/>
    <s v="music/rock"/>
    <x v="1"/>
    <x v="1"/>
  </r>
  <r>
    <n v="607"/>
    <s v="Gordon, Mendez and Johnson"/>
    <s v="Fundamental needs-based frame"/>
    <n v="137600"/>
    <n v="180667"/>
    <x v="1"/>
    <n v="2230"/>
    <x v="1"/>
    <s v="USD"/>
    <n v="131.29869186046511"/>
    <n v="1395550800"/>
    <n v="81.016591928251117"/>
    <n v="1395723600"/>
    <b v="0"/>
    <b v="0"/>
    <s v="food/food trucks"/>
    <x v="0"/>
    <x v="0"/>
  </r>
  <r>
    <n v="608"/>
    <s v="Johnson Group"/>
    <s v="Compatible full-range leverage"/>
    <n v="3900"/>
    <n v="11075"/>
    <x v="1"/>
    <n v="316"/>
    <x v="1"/>
    <s v="USD"/>
    <n v="283.97435897435901"/>
    <n v="1551852000"/>
    <n v="35.047468354430379"/>
    <n v="1552197600"/>
    <b v="0"/>
    <b v="1"/>
    <s v="music/jazz"/>
    <x v="1"/>
    <x v="17"/>
  </r>
  <r>
    <n v="609"/>
    <s v="Rose-Fuller"/>
    <s v="Upgradable holistic system engine"/>
    <n v="10000"/>
    <n v="12042"/>
    <x v="1"/>
    <n v="117"/>
    <x v="1"/>
    <s v="USD"/>
    <n v="120.41999999999999"/>
    <n v="1547618400"/>
    <n v="102.92307692307692"/>
    <n v="15490872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x v="1"/>
    <n v="6406"/>
    <x v="1"/>
    <s v="USD"/>
    <n v="419.0560747663551"/>
    <n v="1355637600"/>
    <n v="27.998126756166094"/>
    <n v="1356847200"/>
    <b v="0"/>
    <b v="0"/>
    <s v="theater/plays"/>
    <x v="3"/>
    <x v="3"/>
  </r>
  <r>
    <n v="611"/>
    <s v="Brady, Cortez and Rodriguez"/>
    <s v="Multi-lateral maximized core"/>
    <n v="8200"/>
    <n v="1136"/>
    <x v="3"/>
    <n v="15"/>
    <x v="1"/>
    <s v="USD"/>
    <n v="13.853658536585368"/>
    <n v="1374728400"/>
    <n v="75.733333333333334"/>
    <n v="1375765200"/>
    <b v="0"/>
    <b v="0"/>
    <s v="theater/plays"/>
    <x v="3"/>
    <x v="3"/>
  </r>
  <r>
    <n v="612"/>
    <s v="Wang, Nguyen and Horton"/>
    <s v="Innovative holistic hub"/>
    <n v="6200"/>
    <n v="8645"/>
    <x v="1"/>
    <n v="192"/>
    <x v="1"/>
    <s v="USD"/>
    <n v="139.43548387096774"/>
    <n v="1287810000"/>
    <n v="45.026041666666664"/>
    <n v="1289800800"/>
    <b v="0"/>
    <b v="0"/>
    <s v="music/electric music"/>
    <x v="1"/>
    <x v="5"/>
  </r>
  <r>
    <n v="613"/>
    <s v="Santos, Williams and Brown"/>
    <s v="Reverse-engineered 24/7 methodology"/>
    <n v="1100"/>
    <n v="1914"/>
    <x v="1"/>
    <n v="26"/>
    <x v="0"/>
    <s v="CAD"/>
    <n v="174"/>
    <n v="1503723600"/>
    <n v="73.615384615384613"/>
    <n v="1504501200"/>
    <b v="0"/>
    <b v="0"/>
    <s v="theater/plays"/>
    <x v="3"/>
    <x v="3"/>
  </r>
  <r>
    <n v="614"/>
    <s v="Barnett and Sons"/>
    <s v="Business-focused dynamic info-mediaries"/>
    <n v="26500"/>
    <n v="41205"/>
    <x v="1"/>
    <n v="723"/>
    <x v="1"/>
    <s v="USD"/>
    <n v="155.49056603773585"/>
    <n v="1484114400"/>
    <n v="56.991701244813278"/>
    <n v="1485669600"/>
    <b v="0"/>
    <b v="0"/>
    <s v="theater/plays"/>
    <x v="3"/>
    <x v="3"/>
  </r>
  <r>
    <n v="615"/>
    <s v="Petersen-Rodriguez"/>
    <s v="Digitized clear-thinking installation"/>
    <n v="8500"/>
    <n v="14488"/>
    <x v="1"/>
    <n v="170"/>
    <x v="6"/>
    <s v="EUR"/>
    <n v="170.44705882352943"/>
    <n v="1461906000"/>
    <n v="85.223529411764702"/>
    <n v="1462770000"/>
    <b v="0"/>
    <b v="0"/>
    <s v="theater/plays"/>
    <x v="3"/>
    <x v="3"/>
  </r>
  <r>
    <n v="616"/>
    <s v="Burnett-Mora"/>
    <s v="Quality-focused 24/7 superstructure"/>
    <n v="6400"/>
    <n v="12129"/>
    <x v="1"/>
    <n v="238"/>
    <x v="4"/>
    <s v="GBP"/>
    <n v="189.515625"/>
    <n v="1379653200"/>
    <n v="50.962184873949582"/>
    <n v="1379739600"/>
    <b v="0"/>
    <b v="1"/>
    <s v="music/indie rock"/>
    <x v="1"/>
    <x v="7"/>
  </r>
  <r>
    <n v="617"/>
    <s v="King LLC"/>
    <s v="Multi-channeled local intranet"/>
    <n v="1400"/>
    <n v="3496"/>
    <x v="1"/>
    <n v="55"/>
    <x v="1"/>
    <s v="USD"/>
    <n v="249.71428571428572"/>
    <n v="1401858000"/>
    <n v="63.563636363636363"/>
    <n v="1402722000"/>
    <b v="0"/>
    <b v="0"/>
    <s v="theater/plays"/>
    <x v="3"/>
    <x v="3"/>
  </r>
  <r>
    <n v="618"/>
    <s v="Miller Ltd"/>
    <s v="Open-architected mobile emulation"/>
    <n v="198600"/>
    <n v="97037"/>
    <x v="0"/>
    <n v="1198"/>
    <x v="1"/>
    <s v="USD"/>
    <n v="48.860523665659613"/>
    <n v="1367470800"/>
    <n v="80.999165275459092"/>
    <n v="1369285200"/>
    <b v="0"/>
    <b v="0"/>
    <s v="publishing/nonfiction"/>
    <x v="5"/>
    <x v="9"/>
  </r>
  <r>
    <n v="619"/>
    <s v="Case LLC"/>
    <s v="Ameliorated foreground methodology"/>
    <n v="195900"/>
    <n v="55757"/>
    <x v="0"/>
    <n v="648"/>
    <x v="1"/>
    <s v="USD"/>
    <n v="28.461970393057683"/>
    <n v="1304658000"/>
    <n v="86.044753086419746"/>
    <n v="1304744400"/>
    <b v="1"/>
    <b v="1"/>
    <s v="theater/plays"/>
    <x v="3"/>
    <x v="3"/>
  </r>
  <r>
    <n v="620"/>
    <s v="Swanson, Wilson and Baker"/>
    <s v="Synergized well-modulated project"/>
    <n v="4300"/>
    <n v="11525"/>
    <x v="1"/>
    <n v="128"/>
    <x v="2"/>
    <s v="AUD"/>
    <n v="268.02325581395348"/>
    <n v="1467954000"/>
    <n v="90.0390625"/>
    <n v="1468299600"/>
    <b v="0"/>
    <b v="0"/>
    <s v="photography/photography books"/>
    <x v="7"/>
    <x v="14"/>
  </r>
  <r>
    <n v="621"/>
    <s v="Dean, Fox and Phillips"/>
    <s v="Extended context-sensitive forecast"/>
    <n v="25600"/>
    <n v="158669"/>
    <x v="1"/>
    <n v="2144"/>
    <x v="1"/>
    <s v="USD"/>
    <n v="619.80078125"/>
    <n v="1473742800"/>
    <n v="74.006063432835816"/>
    <n v="1474174800"/>
    <b v="0"/>
    <b v="0"/>
    <s v="theater/plays"/>
    <x v="3"/>
    <x v="3"/>
  </r>
  <r>
    <n v="622"/>
    <s v="Smith-Smith"/>
    <s v="Total leadingedge neural-net"/>
    <n v="189000"/>
    <n v="5916"/>
    <x v="0"/>
    <n v="64"/>
    <x v="1"/>
    <s v="USD"/>
    <n v="3.1301587301587301"/>
    <n v="1523768400"/>
    <n v="92.4375"/>
    <n v="1526014800"/>
    <b v="0"/>
    <b v="0"/>
    <s v="music/indie rock"/>
    <x v="1"/>
    <x v="7"/>
  </r>
  <r>
    <n v="623"/>
    <s v="Smith, Scott and Rodriguez"/>
    <s v="Organic actuating protocol"/>
    <n v="94300"/>
    <n v="150806"/>
    <x v="1"/>
    <n v="2693"/>
    <x v="4"/>
    <s v="GBP"/>
    <n v="159.92152704135739"/>
    <n v="1437022800"/>
    <n v="55.999257333828446"/>
    <n v="1437454800"/>
    <b v="0"/>
    <b v="0"/>
    <s v="theater/plays"/>
    <x v="3"/>
    <x v="3"/>
  </r>
  <r>
    <n v="624"/>
    <s v="White, Robertson and Roberts"/>
    <s v="Down-sized national software"/>
    <n v="5100"/>
    <n v="14249"/>
    <x v="1"/>
    <n v="432"/>
    <x v="1"/>
    <s v="USD"/>
    <n v="279.39215686274508"/>
    <n v="1422165600"/>
    <n v="32.983796296296298"/>
    <n v="1422684000"/>
    <b v="0"/>
    <b v="0"/>
    <s v="photography/photography books"/>
    <x v="7"/>
    <x v="14"/>
  </r>
  <r>
    <n v="625"/>
    <s v="Martinez Inc"/>
    <s v="Organic upward-trending Graphical User Interface"/>
    <n v="7500"/>
    <n v="5803"/>
    <x v="0"/>
    <n v="62"/>
    <x v="1"/>
    <s v="USD"/>
    <n v="77.373333333333335"/>
    <n v="1580104800"/>
    <n v="93.596774193548384"/>
    <n v="1581314400"/>
    <b v="0"/>
    <b v="0"/>
    <s v="theater/plays"/>
    <x v="3"/>
    <x v="3"/>
  </r>
  <r>
    <n v="626"/>
    <s v="Tucker, Mccoy and Marquez"/>
    <s v="Synergistic tertiary budgetary management"/>
    <n v="6400"/>
    <n v="13205"/>
    <x v="1"/>
    <n v="189"/>
    <x v="1"/>
    <s v="USD"/>
    <n v="206.32812500000003"/>
    <n v="1285650000"/>
    <n v="69.867724867724874"/>
    <n v="1286427600"/>
    <b v="0"/>
    <b v="1"/>
    <s v="theater/plays"/>
    <x v="3"/>
    <x v="3"/>
  </r>
  <r>
    <n v="627"/>
    <s v="Martin, Lee and Armstrong"/>
    <s v="Open-architected incremental ability"/>
    <n v="1600"/>
    <n v="11108"/>
    <x v="1"/>
    <n v="154"/>
    <x v="4"/>
    <s v="GBP"/>
    <n v="694.25"/>
    <n v="1276664400"/>
    <n v="72.129870129870127"/>
    <n v="1278738000"/>
    <b v="1"/>
    <b v="0"/>
    <s v="food/food trucks"/>
    <x v="0"/>
    <x v="0"/>
  </r>
  <r>
    <n v="628"/>
    <s v="Dunn, Moreno and Green"/>
    <s v="Intuitive object-oriented task-force"/>
    <n v="1900"/>
    <n v="2884"/>
    <x v="1"/>
    <n v="96"/>
    <x v="1"/>
    <s v="USD"/>
    <n v="151.78947368421052"/>
    <n v="1286168400"/>
    <n v="30.041666666666668"/>
    <n v="1286427600"/>
    <b v="0"/>
    <b v="0"/>
    <s v="music/indie rock"/>
    <x v="1"/>
    <x v="7"/>
  </r>
  <r>
    <n v="629"/>
    <s v="Jackson, Martinez and Ray"/>
    <s v="Multi-tiered executive toolset"/>
    <n v="85900"/>
    <n v="55476"/>
    <x v="0"/>
    <n v="750"/>
    <x v="1"/>
    <s v="USD"/>
    <n v="64.58207217694995"/>
    <n v="1467781200"/>
    <n v="73.968000000000004"/>
    <n v="1467954000"/>
    <b v="0"/>
    <b v="1"/>
    <s v="theater/plays"/>
    <x v="3"/>
    <x v="3"/>
  </r>
  <r>
    <n v="630"/>
    <s v="Patterson-Johnson"/>
    <s v="Grass-roots directional workforce"/>
    <n v="9500"/>
    <n v="5973"/>
    <x v="3"/>
    <n v="87"/>
    <x v="1"/>
    <s v="USD"/>
    <n v="62.873684210526314"/>
    <n v="1556686800"/>
    <n v="68.65517241379311"/>
    <n v="1557637200"/>
    <b v="0"/>
    <b v="1"/>
    <s v="theater/plays"/>
    <x v="3"/>
    <x v="3"/>
  </r>
  <r>
    <n v="631"/>
    <s v="Carlson-Hernandez"/>
    <s v="Quality-focused real-time solution"/>
    <n v="59200"/>
    <n v="183756"/>
    <x v="1"/>
    <n v="3063"/>
    <x v="1"/>
    <s v="USD"/>
    <n v="310.39864864864865"/>
    <n v="1553576400"/>
    <n v="59.992164544564154"/>
    <n v="1553922000"/>
    <b v="0"/>
    <b v="0"/>
    <s v="theater/plays"/>
    <x v="3"/>
    <x v="3"/>
  </r>
  <r>
    <n v="632"/>
    <s v="Parker PLC"/>
    <s v="Reduced interactive matrix"/>
    <n v="72100"/>
    <n v="30902"/>
    <x v="2"/>
    <n v="278"/>
    <x v="1"/>
    <s v="USD"/>
    <n v="42.859916782246884"/>
    <n v="1414904400"/>
    <n v="111.15827338129496"/>
    <n v="1416463200"/>
    <b v="0"/>
    <b v="0"/>
    <s v="theater/plays"/>
    <x v="3"/>
    <x v="3"/>
  </r>
  <r>
    <n v="633"/>
    <s v="Yu and Sons"/>
    <s v="Adaptive context-sensitive architecture"/>
    <n v="6700"/>
    <n v="5569"/>
    <x v="0"/>
    <n v="105"/>
    <x v="1"/>
    <s v="USD"/>
    <n v="83.119402985074629"/>
    <n v="1446876000"/>
    <n v="53.038095238095238"/>
    <n v="1447221600"/>
    <b v="0"/>
    <b v="0"/>
    <s v="film &amp; video/animation"/>
    <x v="4"/>
    <x v="10"/>
  </r>
  <r>
    <n v="634"/>
    <s v="Taylor, Johnson and Hernandez"/>
    <s v="Polarized incremental portal"/>
    <n v="118200"/>
    <n v="92824"/>
    <x v="3"/>
    <n v="1658"/>
    <x v="1"/>
    <s v="USD"/>
    <n v="78.531302876480552"/>
    <n v="1490418000"/>
    <n v="55.985524728588658"/>
    <n v="1491627600"/>
    <b v="0"/>
    <b v="0"/>
    <s v="film &amp; video/television"/>
    <x v="4"/>
    <x v="19"/>
  </r>
  <r>
    <n v="635"/>
    <s v="Mack Ltd"/>
    <s v="Reactive regional access"/>
    <n v="139000"/>
    <n v="158590"/>
    <x v="1"/>
    <n v="2266"/>
    <x v="1"/>
    <s v="USD"/>
    <n v="114.09352517985612"/>
    <n v="1360389600"/>
    <n v="69.986760812003524"/>
    <n v="1363150800"/>
    <b v="0"/>
    <b v="0"/>
    <s v="film &amp; video/television"/>
    <x v="4"/>
    <x v="19"/>
  </r>
  <r>
    <n v="636"/>
    <s v="Lamb-Sanders"/>
    <s v="Stand-alone reciprocal frame"/>
    <n v="197700"/>
    <n v="127591"/>
    <x v="0"/>
    <n v="2604"/>
    <x v="3"/>
    <s v="DKK"/>
    <n v="64.537683358624179"/>
    <n v="1326866400"/>
    <n v="48.998079877112133"/>
    <n v="1330754400"/>
    <b v="0"/>
    <b v="1"/>
    <s v="film &amp; video/animation"/>
    <x v="4"/>
    <x v="10"/>
  </r>
  <r>
    <n v="637"/>
    <s v="Williams-Ramirez"/>
    <s v="Open-architected 24/7 throughput"/>
    <n v="8500"/>
    <n v="6750"/>
    <x v="0"/>
    <n v="65"/>
    <x v="1"/>
    <s v="USD"/>
    <n v="79.411764705882348"/>
    <n v="1479103200"/>
    <n v="103.84615384615384"/>
    <n v="1479794400"/>
    <b v="0"/>
    <b v="0"/>
    <s v="theater/plays"/>
    <x v="3"/>
    <x v="3"/>
  </r>
  <r>
    <n v="638"/>
    <s v="Weaver Ltd"/>
    <s v="Monitored 24/7 approach"/>
    <n v="81600"/>
    <n v="9318"/>
    <x v="0"/>
    <n v="94"/>
    <x v="1"/>
    <s v="USD"/>
    <n v="11.419117647058824"/>
    <n v="1280206800"/>
    <n v="99.127659574468083"/>
    <n v="1281243600"/>
    <b v="0"/>
    <b v="1"/>
    <s v="theater/plays"/>
    <x v="3"/>
    <x v="3"/>
  </r>
  <r>
    <n v="639"/>
    <s v="Barnes-Williams"/>
    <s v="Upgradable explicit forecast"/>
    <n v="8600"/>
    <n v="4832"/>
    <x v="2"/>
    <n v="45"/>
    <x v="1"/>
    <s v="USD"/>
    <n v="56.186046511627907"/>
    <n v="1532754000"/>
    <n v="107.37777777777778"/>
    <n v="1532754000"/>
    <b v="0"/>
    <b v="1"/>
    <s v="film &amp; video/drama"/>
    <x v="4"/>
    <x v="6"/>
  </r>
  <r>
    <n v="640"/>
    <s v="Richardson, Woodward and Hansen"/>
    <s v="Pre-emptive context-sensitive support"/>
    <n v="119800"/>
    <n v="19769"/>
    <x v="0"/>
    <n v="257"/>
    <x v="1"/>
    <s v="USD"/>
    <n v="16.501669449081803"/>
    <n v="1453096800"/>
    <n v="76.922178988326849"/>
    <n v="1453356000"/>
    <b v="0"/>
    <b v="0"/>
    <s v="theater/plays"/>
    <x v="3"/>
    <x v="3"/>
  </r>
  <r>
    <n v="641"/>
    <s v="Hunt, Barker and Baker"/>
    <s v="Business-focused leadingedge instruction set"/>
    <n v="9400"/>
    <n v="11277"/>
    <x v="1"/>
    <n v="194"/>
    <x v="5"/>
    <s v="CHF"/>
    <n v="119.96808510638297"/>
    <n v="1487570400"/>
    <n v="58.128865979381445"/>
    <n v="1489986000"/>
    <b v="0"/>
    <b v="0"/>
    <s v="theater/plays"/>
    <x v="3"/>
    <x v="3"/>
  </r>
  <r>
    <n v="642"/>
    <s v="Ramos, Moreno and Lewis"/>
    <s v="Extended multi-state knowledge user"/>
    <n v="9200"/>
    <n v="13382"/>
    <x v="1"/>
    <n v="129"/>
    <x v="0"/>
    <s v="CAD"/>
    <n v="145.45652173913044"/>
    <n v="1545026400"/>
    <n v="103.73643410852713"/>
    <n v="1545804000"/>
    <b v="0"/>
    <b v="0"/>
    <s v="technology/wearables"/>
    <x v="2"/>
    <x v="8"/>
  </r>
  <r>
    <n v="643"/>
    <s v="Harris Inc"/>
    <s v="Future-proofed modular groupware"/>
    <n v="14900"/>
    <n v="32986"/>
    <x v="1"/>
    <n v="375"/>
    <x v="1"/>
    <s v="USD"/>
    <n v="221.38255033557047"/>
    <n v="1488348000"/>
    <n v="87.962666666666664"/>
    <n v="1489899600"/>
    <b v="0"/>
    <b v="0"/>
    <s v="theater/plays"/>
    <x v="3"/>
    <x v="3"/>
  </r>
  <r>
    <n v="644"/>
    <s v="Peters-Nelson"/>
    <s v="Distributed real-time algorithm"/>
    <n v="169400"/>
    <n v="81984"/>
    <x v="0"/>
    <n v="2928"/>
    <x v="0"/>
    <s v="CAD"/>
    <n v="48.396694214876035"/>
    <n v="1545112800"/>
    <n v="28"/>
    <n v="1546495200"/>
    <b v="0"/>
    <b v="0"/>
    <s v="theater/plays"/>
    <x v="3"/>
    <x v="3"/>
  </r>
  <r>
    <n v="645"/>
    <s v="Ferguson, Murphy and Bright"/>
    <s v="Multi-lateral heuristic throughput"/>
    <n v="192100"/>
    <n v="178483"/>
    <x v="0"/>
    <n v="4697"/>
    <x v="1"/>
    <s v="USD"/>
    <n v="92.911504424778755"/>
    <n v="1537938000"/>
    <n v="37.999361294443261"/>
    <n v="1539752400"/>
    <b v="0"/>
    <b v="1"/>
    <s v="music/rock"/>
    <x v="1"/>
    <x v="1"/>
  </r>
  <r>
    <n v="646"/>
    <s v="Robinson Group"/>
    <s v="Switchable reciprocal middleware"/>
    <n v="98700"/>
    <n v="87448"/>
    <x v="0"/>
    <n v="2915"/>
    <x v="1"/>
    <s v="USD"/>
    <n v="88.599797365754824"/>
    <n v="1363150800"/>
    <n v="29.999313893653515"/>
    <n v="1364101200"/>
    <b v="0"/>
    <b v="0"/>
    <s v="games/video games"/>
    <x v="6"/>
    <x v="11"/>
  </r>
  <r>
    <n v="647"/>
    <s v="Jordan-Wolfe"/>
    <s v="Inverse multimedia Graphic Interface"/>
    <n v="4500"/>
    <n v="1863"/>
    <x v="0"/>
    <n v="18"/>
    <x v="1"/>
    <s v="USD"/>
    <n v="41.4"/>
    <n v="1523250000"/>
    <n v="103.5"/>
    <n v="1525323600"/>
    <b v="0"/>
    <b v="0"/>
    <s v="publishing/translations"/>
    <x v="5"/>
    <x v="18"/>
  </r>
  <r>
    <n v="648"/>
    <s v="Vargas-Cox"/>
    <s v="Vision-oriented local contingency"/>
    <n v="98600"/>
    <n v="62174"/>
    <x v="3"/>
    <n v="723"/>
    <x v="1"/>
    <s v="USD"/>
    <n v="63.056795131845846"/>
    <n v="1499317200"/>
    <n v="85.994467496542185"/>
    <n v="1500872400"/>
    <b v="1"/>
    <b v="0"/>
    <s v="food/food trucks"/>
    <x v="0"/>
    <x v="0"/>
  </r>
  <r>
    <n v="649"/>
    <s v="Yang and Sons"/>
    <s v="Reactive 6thgeneration hub"/>
    <n v="121700"/>
    <n v="59003"/>
    <x v="0"/>
    <n v="602"/>
    <x v="5"/>
    <s v="CHF"/>
    <n v="48.482333607230892"/>
    <n v="1287550800"/>
    <n v="98.011627906976742"/>
    <n v="1288501200"/>
    <b v="1"/>
    <b v="1"/>
    <s v="theater/plays"/>
    <x v="3"/>
    <x v="3"/>
  </r>
  <r>
    <n v="650"/>
    <s v="Wilson, Wilson and Mathis"/>
    <s v="Optional asymmetric success"/>
    <n v="100"/>
    <n v="2"/>
    <x v="0"/>
    <n v="1"/>
    <x v="1"/>
    <s v="USD"/>
    <n v="2"/>
    <n v="1404795600"/>
    <n v="2"/>
    <n v="1407128400"/>
    <b v="0"/>
    <b v="0"/>
    <s v="music/jazz"/>
    <x v="1"/>
    <x v="17"/>
  </r>
  <r>
    <n v="651"/>
    <s v="Wang, Koch and Weaver"/>
    <s v="Digitized analyzing capacity"/>
    <n v="196700"/>
    <n v="174039"/>
    <x v="0"/>
    <n v="3868"/>
    <x v="6"/>
    <s v="EUR"/>
    <n v="88.47941026944585"/>
    <n v="1393048800"/>
    <n v="44.994570837642193"/>
    <n v="1394344800"/>
    <b v="0"/>
    <b v="0"/>
    <s v="film &amp; video/shorts"/>
    <x v="4"/>
    <x v="12"/>
  </r>
  <r>
    <n v="652"/>
    <s v="Cisneros Ltd"/>
    <s v="Vision-oriented regional hub"/>
    <n v="10000"/>
    <n v="12684"/>
    <x v="1"/>
    <n v="409"/>
    <x v="1"/>
    <s v="USD"/>
    <n v="126.84"/>
    <n v="1470373200"/>
    <n v="31.012224938875306"/>
    <n v="1474088400"/>
    <b v="0"/>
    <b v="0"/>
    <s v="technology/web"/>
    <x v="2"/>
    <x v="2"/>
  </r>
  <r>
    <n v="653"/>
    <s v="Williams-Jones"/>
    <s v="Monitored incremental info-mediaries"/>
    <n v="600"/>
    <n v="14033"/>
    <x v="1"/>
    <n v="234"/>
    <x v="1"/>
    <s v="USD"/>
    <n v="2338.833333333333"/>
    <n v="1460091600"/>
    <n v="59.970085470085472"/>
    <n v="1460264400"/>
    <b v="0"/>
    <b v="0"/>
    <s v="technology/web"/>
    <x v="2"/>
    <x v="2"/>
  </r>
  <r>
    <n v="654"/>
    <s v="Roberts, Hinton and Williams"/>
    <s v="Programmable static middleware"/>
    <n v="35000"/>
    <n v="177936"/>
    <x v="1"/>
    <n v="3016"/>
    <x v="1"/>
    <s v="USD"/>
    <n v="508.38857142857148"/>
    <n v="1440392400"/>
    <n v="58.9973474801061"/>
    <n v="1440824400"/>
    <b v="0"/>
    <b v="0"/>
    <s v="music/metal"/>
    <x v="1"/>
    <x v="16"/>
  </r>
  <r>
    <n v="655"/>
    <s v="Gonzalez, Williams and Benson"/>
    <s v="Multi-layered bottom-line encryption"/>
    <n v="6900"/>
    <n v="13212"/>
    <x v="1"/>
    <n v="264"/>
    <x v="1"/>
    <s v="USD"/>
    <n v="191.47826086956522"/>
    <n v="1488434400"/>
    <n v="50.045454545454547"/>
    <n v="14895540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x v="0"/>
    <n v="504"/>
    <x v="2"/>
    <s v="AUD"/>
    <n v="42.127533783783782"/>
    <n v="1514440800"/>
    <n v="98.966269841269835"/>
    <n v="1514872800"/>
    <b v="0"/>
    <b v="0"/>
    <s v="food/food trucks"/>
    <x v="0"/>
    <x v="0"/>
  </r>
  <r>
    <n v="657"/>
    <s v="Russo, Kim and Mccoy"/>
    <s v="Balanced optimal hardware"/>
    <n v="10000"/>
    <n v="824"/>
    <x v="0"/>
    <n v="14"/>
    <x v="1"/>
    <s v="USD"/>
    <n v="8.24"/>
    <n v="1514354400"/>
    <n v="58.857142857142854"/>
    <n v="1515736800"/>
    <b v="0"/>
    <b v="0"/>
    <s v="film &amp; video/science fiction"/>
    <x v="4"/>
    <x v="22"/>
  </r>
  <r>
    <n v="658"/>
    <s v="Howell, Myers and Olson"/>
    <s v="Self-enabling mission-critical success"/>
    <n v="52600"/>
    <n v="31594"/>
    <x v="3"/>
    <n v="390"/>
    <x v="1"/>
    <s v="USD"/>
    <n v="60.064638783269963"/>
    <n v="1440910800"/>
    <n v="81.010256410256417"/>
    <n v="1442898000"/>
    <b v="0"/>
    <b v="0"/>
    <s v="music/rock"/>
    <x v="1"/>
    <x v="1"/>
  </r>
  <r>
    <n v="659"/>
    <s v="Bailey and Sons"/>
    <s v="Grass-roots dynamic emulation"/>
    <n v="120700"/>
    <n v="57010"/>
    <x v="0"/>
    <n v="750"/>
    <x v="4"/>
    <s v="GBP"/>
    <n v="47.232808616404313"/>
    <n v="1296108000"/>
    <n v="76.013333333333335"/>
    <n v="1296194400"/>
    <b v="0"/>
    <b v="0"/>
    <s v="film &amp; video/documentary"/>
    <x v="4"/>
    <x v="4"/>
  </r>
  <r>
    <n v="660"/>
    <s v="Jensen-Brown"/>
    <s v="Fundamental disintermediate matrix"/>
    <n v="9100"/>
    <n v="7438"/>
    <x v="0"/>
    <n v="77"/>
    <x v="1"/>
    <s v="USD"/>
    <n v="81.736263736263737"/>
    <n v="1440133200"/>
    <n v="96.597402597402592"/>
    <n v="1440910800"/>
    <b v="1"/>
    <b v="0"/>
    <s v="theater/plays"/>
    <x v="3"/>
    <x v="3"/>
  </r>
  <r>
    <n v="661"/>
    <s v="Smith Group"/>
    <s v="Right-sized secondary challenge"/>
    <n v="106800"/>
    <n v="57872"/>
    <x v="0"/>
    <n v="752"/>
    <x v="3"/>
    <s v="DKK"/>
    <n v="54.187265917603"/>
    <n v="1332910800"/>
    <n v="76.957446808510639"/>
    <n v="1335502800"/>
    <b v="0"/>
    <b v="0"/>
    <s v="music/jazz"/>
    <x v="1"/>
    <x v="17"/>
  </r>
  <r>
    <n v="662"/>
    <s v="Murphy-Farrell"/>
    <s v="Implemented exuding software"/>
    <n v="9100"/>
    <n v="8906"/>
    <x v="0"/>
    <n v="131"/>
    <x v="1"/>
    <s v="USD"/>
    <n v="97.868131868131869"/>
    <n v="1544335200"/>
    <n v="67.984732824427482"/>
    <n v="1544680800"/>
    <b v="0"/>
    <b v="0"/>
    <s v="theater/plays"/>
    <x v="3"/>
    <x v="3"/>
  </r>
  <r>
    <n v="663"/>
    <s v="Everett-Wolfe"/>
    <s v="Total optimizing software"/>
    <n v="10000"/>
    <n v="7724"/>
    <x v="0"/>
    <n v="87"/>
    <x v="1"/>
    <s v="USD"/>
    <n v="77.239999999999995"/>
    <n v="1286427600"/>
    <n v="88.781609195402297"/>
    <n v="1288414800"/>
    <b v="0"/>
    <b v="0"/>
    <s v="theater/plays"/>
    <x v="3"/>
    <x v="3"/>
  </r>
  <r>
    <n v="664"/>
    <s v="Young PLC"/>
    <s v="Optional maximized attitude"/>
    <n v="79400"/>
    <n v="26571"/>
    <x v="0"/>
    <n v="1063"/>
    <x v="1"/>
    <s v="USD"/>
    <n v="33.464735516372798"/>
    <n v="1329717600"/>
    <n v="24.99623706491063"/>
    <n v="1330581600"/>
    <b v="0"/>
    <b v="0"/>
    <s v="music/jazz"/>
    <x v="1"/>
    <x v="17"/>
  </r>
  <r>
    <n v="665"/>
    <s v="Park-Goodman"/>
    <s v="Customer-focused impactful extranet"/>
    <n v="5100"/>
    <n v="12219"/>
    <x v="1"/>
    <n v="272"/>
    <x v="1"/>
    <s v="USD"/>
    <n v="239.58823529411765"/>
    <n v="1310187600"/>
    <n v="44.922794117647058"/>
    <n v="1311397200"/>
    <b v="0"/>
    <b v="1"/>
    <s v="film &amp; video/documentary"/>
    <x v="4"/>
    <x v="4"/>
  </r>
  <r>
    <n v="666"/>
    <s v="York, Barr and Grant"/>
    <s v="Cloned bottom-line success"/>
    <n v="3100"/>
    <n v="1985"/>
    <x v="3"/>
    <n v="25"/>
    <x v="1"/>
    <s v="USD"/>
    <n v="64.032258064516128"/>
    <n v="1377838800"/>
    <n v="79.400000000000006"/>
    <n v="1378357200"/>
    <b v="0"/>
    <b v="1"/>
    <s v="theater/plays"/>
    <x v="3"/>
    <x v="3"/>
  </r>
  <r>
    <n v="667"/>
    <s v="Little Ltd"/>
    <s v="Decentralized bandwidth-monitored ability"/>
    <n v="6900"/>
    <n v="12155"/>
    <x v="1"/>
    <n v="419"/>
    <x v="1"/>
    <s v="USD"/>
    <n v="176.15942028985506"/>
    <n v="1410325200"/>
    <n v="29.009546539379475"/>
    <n v="1411102800"/>
    <b v="0"/>
    <b v="0"/>
    <s v="journalism/audio"/>
    <x v="8"/>
    <x v="23"/>
  </r>
  <r>
    <n v="668"/>
    <s v="Brown and Sons"/>
    <s v="Programmable leadingedge budgetary management"/>
    <n v="27500"/>
    <n v="5593"/>
    <x v="0"/>
    <n v="76"/>
    <x v="1"/>
    <s v="USD"/>
    <n v="20.33818181818182"/>
    <n v="1343797200"/>
    <n v="73.59210526315789"/>
    <n v="1344834000"/>
    <b v="0"/>
    <b v="0"/>
    <s v="theater/plays"/>
    <x v="3"/>
    <x v="3"/>
  </r>
  <r>
    <n v="669"/>
    <s v="Payne, Garrett and Thomas"/>
    <s v="Upgradable bi-directional concept"/>
    <n v="48800"/>
    <n v="175020"/>
    <x v="1"/>
    <n v="1621"/>
    <x v="6"/>
    <s v="EUR"/>
    <n v="358.64754098360658"/>
    <n v="1498453200"/>
    <n v="107.97038864898211"/>
    <n v="1499230800"/>
    <b v="0"/>
    <b v="0"/>
    <s v="theater/plays"/>
    <x v="3"/>
    <x v="3"/>
  </r>
  <r>
    <n v="670"/>
    <s v="Robinson Group"/>
    <s v="Re-contextualized homogeneous flexibility"/>
    <n v="16200"/>
    <n v="75955"/>
    <x v="1"/>
    <n v="1101"/>
    <x v="1"/>
    <s v="USD"/>
    <n v="468.85802469135803"/>
    <n v="1456380000"/>
    <n v="68.987284287011803"/>
    <n v="1457416800"/>
    <b v="0"/>
    <b v="0"/>
    <s v="music/indie rock"/>
    <x v="1"/>
    <x v="7"/>
  </r>
  <r>
    <n v="671"/>
    <s v="Robinson-Kelly"/>
    <s v="Monitored bi-directional standardization"/>
    <n v="97600"/>
    <n v="119127"/>
    <x v="1"/>
    <n v="1073"/>
    <x v="1"/>
    <s v="USD"/>
    <n v="122.05635245901641"/>
    <n v="1280552400"/>
    <n v="111.02236719478098"/>
    <n v="1280898000"/>
    <b v="0"/>
    <b v="1"/>
    <s v="theater/plays"/>
    <x v="3"/>
    <x v="3"/>
  </r>
  <r>
    <n v="672"/>
    <s v="Kelly-Colon"/>
    <s v="Stand-alone grid-enabled leverage"/>
    <n v="197900"/>
    <n v="110689"/>
    <x v="0"/>
    <n v="4428"/>
    <x v="2"/>
    <s v="AUD"/>
    <n v="55.931783729156137"/>
    <n v="1521608400"/>
    <n v="24.997515808491418"/>
    <n v="1522472400"/>
    <b v="0"/>
    <b v="0"/>
    <s v="theater/plays"/>
    <x v="3"/>
    <x v="3"/>
  </r>
  <r>
    <n v="673"/>
    <s v="Turner, Scott and Gentry"/>
    <s v="Assimilated regional groupware"/>
    <n v="5600"/>
    <n v="2445"/>
    <x v="0"/>
    <n v="58"/>
    <x v="6"/>
    <s v="EUR"/>
    <n v="43.660714285714285"/>
    <n v="1460696400"/>
    <n v="42.155172413793103"/>
    <n v="1462510800"/>
    <b v="0"/>
    <b v="0"/>
    <s v="music/indie rock"/>
    <x v="1"/>
    <x v="7"/>
  </r>
  <r>
    <n v="674"/>
    <s v="Sanchez Ltd"/>
    <s v="Up-sized 24hour instruction set"/>
    <n v="170700"/>
    <n v="57250"/>
    <x v="3"/>
    <n v="1218"/>
    <x v="1"/>
    <s v="USD"/>
    <n v="33.53837141183363"/>
    <n v="1313730000"/>
    <n v="47.003284072249592"/>
    <n v="1317790800"/>
    <b v="0"/>
    <b v="0"/>
    <s v="photography/photography books"/>
    <x v="7"/>
    <x v="14"/>
  </r>
  <r>
    <n v="675"/>
    <s v="Giles-Smith"/>
    <s v="Right-sized web-enabled intranet"/>
    <n v="9700"/>
    <n v="11929"/>
    <x v="1"/>
    <n v="331"/>
    <x v="1"/>
    <s v="USD"/>
    <n v="122.97938144329896"/>
    <n v="1568178000"/>
    <n v="36.0392749244713"/>
    <n v="1568782800"/>
    <b v="0"/>
    <b v="0"/>
    <s v="journalism/audio"/>
    <x v="8"/>
    <x v="23"/>
  </r>
  <r>
    <n v="676"/>
    <s v="Thompson-Moreno"/>
    <s v="Expanded needs-based orchestration"/>
    <n v="62300"/>
    <n v="118214"/>
    <x v="1"/>
    <n v="1170"/>
    <x v="1"/>
    <s v="USD"/>
    <n v="189.74959871589084"/>
    <n v="1348635600"/>
    <n v="101.03760683760684"/>
    <n v="1349413200"/>
    <b v="0"/>
    <b v="0"/>
    <s v="photography/photography books"/>
    <x v="7"/>
    <x v="14"/>
  </r>
  <r>
    <n v="677"/>
    <s v="Murphy-Fox"/>
    <s v="Organic system-worthy orchestration"/>
    <n v="5300"/>
    <n v="4432"/>
    <x v="0"/>
    <n v="111"/>
    <x v="1"/>
    <s v="USD"/>
    <n v="83.622641509433961"/>
    <n v="1468126800"/>
    <n v="39.927927927927925"/>
    <n v="1472446800"/>
    <b v="0"/>
    <b v="0"/>
    <s v="publishing/fiction"/>
    <x v="5"/>
    <x v="13"/>
  </r>
  <r>
    <n v="678"/>
    <s v="Rodriguez-Patterson"/>
    <s v="Inverse static standardization"/>
    <n v="99500"/>
    <n v="17879"/>
    <x v="3"/>
    <n v="215"/>
    <x v="1"/>
    <s v="USD"/>
    <n v="17.968844221105527"/>
    <n v="1547877600"/>
    <n v="83.158139534883716"/>
    <n v="1548050400"/>
    <b v="0"/>
    <b v="0"/>
    <s v="film &amp; video/drama"/>
    <x v="4"/>
    <x v="6"/>
  </r>
  <r>
    <n v="679"/>
    <s v="Davis Ltd"/>
    <s v="Synchronized motivating solution"/>
    <n v="1400"/>
    <n v="14511"/>
    <x v="1"/>
    <n v="363"/>
    <x v="1"/>
    <s v="USD"/>
    <n v="1036.5"/>
    <n v="1571374800"/>
    <n v="39.97520661157025"/>
    <n v="1571806800"/>
    <b v="0"/>
    <b v="1"/>
    <s v="food/food trucks"/>
    <x v="0"/>
    <x v="0"/>
  </r>
  <r>
    <n v="680"/>
    <s v="Nelson-Valdez"/>
    <s v="Open-source 4thgeneration open system"/>
    <n v="145600"/>
    <n v="141822"/>
    <x v="0"/>
    <n v="2955"/>
    <x v="1"/>
    <s v="USD"/>
    <n v="97.405219780219781"/>
    <n v="1576303200"/>
    <n v="47.993908629441627"/>
    <n v="1576476000"/>
    <b v="0"/>
    <b v="1"/>
    <s v="games/mobile games"/>
    <x v="6"/>
    <x v="20"/>
  </r>
  <r>
    <n v="681"/>
    <s v="Kelly PLC"/>
    <s v="Decentralized context-sensitive superstructure"/>
    <n v="184100"/>
    <n v="159037"/>
    <x v="0"/>
    <n v="1657"/>
    <x v="1"/>
    <s v="USD"/>
    <n v="86.386203150461711"/>
    <n v="1324447200"/>
    <n v="95.978877489438744"/>
    <n v="1324965600"/>
    <b v="0"/>
    <b v="0"/>
    <s v="theater/plays"/>
    <x v="3"/>
    <x v="3"/>
  </r>
  <r>
    <n v="682"/>
    <s v="Nguyen and Sons"/>
    <s v="Compatible 5thgeneration concept"/>
    <n v="5400"/>
    <n v="8109"/>
    <x v="1"/>
    <n v="103"/>
    <x v="1"/>
    <s v="USD"/>
    <n v="150.16666666666666"/>
    <n v="1386741600"/>
    <n v="78.728155339805824"/>
    <n v="1387519200"/>
    <b v="0"/>
    <b v="0"/>
    <s v="theater/plays"/>
    <x v="3"/>
    <x v="3"/>
  </r>
  <r>
    <n v="683"/>
    <s v="Jones PLC"/>
    <s v="Virtual systemic intranet"/>
    <n v="2300"/>
    <n v="8244"/>
    <x v="1"/>
    <n v="147"/>
    <x v="1"/>
    <s v="USD"/>
    <n v="358.43478260869563"/>
    <n v="1537074000"/>
    <n v="56.081632653061227"/>
    <n v="1537246800"/>
    <b v="0"/>
    <b v="0"/>
    <s v="theater/plays"/>
    <x v="3"/>
    <x v="3"/>
  </r>
  <r>
    <n v="684"/>
    <s v="Gilmore LLC"/>
    <s v="Optimized systemic algorithm"/>
    <n v="1400"/>
    <n v="7600"/>
    <x v="1"/>
    <n v="110"/>
    <x v="0"/>
    <s v="CAD"/>
    <n v="542.85714285714289"/>
    <n v="1277787600"/>
    <n v="69.090909090909093"/>
    <n v="1279515600"/>
    <b v="0"/>
    <b v="0"/>
    <s v="publishing/nonfiction"/>
    <x v="5"/>
    <x v="9"/>
  </r>
  <r>
    <n v="685"/>
    <s v="Lee-Cobb"/>
    <s v="Customizable homogeneous firmware"/>
    <n v="140000"/>
    <n v="94501"/>
    <x v="0"/>
    <n v="926"/>
    <x v="0"/>
    <s v="CAD"/>
    <n v="67.500714285714281"/>
    <n v="1440306000"/>
    <n v="102.05291576673866"/>
    <n v="1442379600"/>
    <b v="0"/>
    <b v="0"/>
    <s v="theater/plays"/>
    <x v="3"/>
    <x v="3"/>
  </r>
  <r>
    <n v="686"/>
    <s v="Jones, Wiley and Robbins"/>
    <s v="Front-line cohesive extranet"/>
    <n v="7500"/>
    <n v="14381"/>
    <x v="1"/>
    <n v="134"/>
    <x v="1"/>
    <s v="USD"/>
    <n v="191.74666666666667"/>
    <n v="1522126800"/>
    <n v="107.32089552238806"/>
    <n v="1523077200"/>
    <b v="0"/>
    <b v="0"/>
    <s v="technology/wearables"/>
    <x v="2"/>
    <x v="8"/>
  </r>
  <r>
    <n v="687"/>
    <s v="Martin, Gates and Holt"/>
    <s v="Distributed holistic neural-net"/>
    <n v="1500"/>
    <n v="13980"/>
    <x v="1"/>
    <n v="269"/>
    <x v="1"/>
    <s v="USD"/>
    <n v="932"/>
    <n v="1489298400"/>
    <n v="51.970260223048328"/>
    <n v="1489554000"/>
    <b v="0"/>
    <b v="0"/>
    <s v="theater/plays"/>
    <x v="3"/>
    <x v="3"/>
  </r>
  <r>
    <n v="688"/>
    <s v="Bowen, Davies and Burns"/>
    <s v="Devolved client-server monitoring"/>
    <n v="2900"/>
    <n v="12449"/>
    <x v="1"/>
    <n v="175"/>
    <x v="1"/>
    <s v="USD"/>
    <n v="429.27586206896552"/>
    <n v="1547100000"/>
    <n v="71.137142857142862"/>
    <n v="1548482400"/>
    <b v="0"/>
    <b v="1"/>
    <s v="film &amp; video/television"/>
    <x v="4"/>
    <x v="19"/>
  </r>
  <r>
    <n v="689"/>
    <s v="Nguyen Inc"/>
    <s v="Seamless directional capacity"/>
    <n v="7300"/>
    <n v="7348"/>
    <x v="1"/>
    <n v="69"/>
    <x v="1"/>
    <s v="USD"/>
    <n v="100.65753424657535"/>
    <n v="1383022800"/>
    <n v="106.49275362318841"/>
    <n v="1384063200"/>
    <b v="0"/>
    <b v="0"/>
    <s v="technology/web"/>
    <x v="2"/>
    <x v="2"/>
  </r>
  <r>
    <n v="690"/>
    <s v="Walsh-Watts"/>
    <s v="Polarized actuating implementation"/>
    <n v="3600"/>
    <n v="8158"/>
    <x v="1"/>
    <n v="190"/>
    <x v="1"/>
    <s v="USD"/>
    <n v="226.61111111111109"/>
    <n v="1322373600"/>
    <n v="42.93684210526316"/>
    <n v="1322892000"/>
    <b v="0"/>
    <b v="1"/>
    <s v="film &amp; video/documentary"/>
    <x v="4"/>
    <x v="4"/>
  </r>
  <r>
    <n v="691"/>
    <s v="Ray, Li and Li"/>
    <s v="Front-line disintermediate hub"/>
    <n v="5000"/>
    <n v="7119"/>
    <x v="1"/>
    <n v="237"/>
    <x v="1"/>
    <s v="USD"/>
    <n v="142.38"/>
    <n v="1349240400"/>
    <n v="30.037974683544302"/>
    <n v="1350709200"/>
    <b v="1"/>
    <b v="1"/>
    <s v="film &amp; video/documentary"/>
    <x v="4"/>
    <x v="4"/>
  </r>
  <r>
    <n v="692"/>
    <s v="Murray Ltd"/>
    <s v="Decentralized 4thgeneration challenge"/>
    <n v="6000"/>
    <n v="5438"/>
    <x v="0"/>
    <n v="77"/>
    <x v="4"/>
    <s v="GBP"/>
    <n v="90.633333333333326"/>
    <n v="1562648400"/>
    <n v="70.623376623376629"/>
    <n v="1564203600"/>
    <b v="0"/>
    <b v="0"/>
    <s v="music/rock"/>
    <x v="1"/>
    <x v="1"/>
  </r>
  <r>
    <n v="693"/>
    <s v="Bradford-Silva"/>
    <s v="Reverse-engineered composite hierarchy"/>
    <n v="180400"/>
    <n v="115396"/>
    <x v="0"/>
    <n v="1748"/>
    <x v="1"/>
    <s v="USD"/>
    <n v="63.966740576496676"/>
    <n v="1508216400"/>
    <n v="66.016018306636155"/>
    <n v="1509685200"/>
    <b v="0"/>
    <b v="0"/>
    <s v="theater/plays"/>
    <x v="3"/>
    <x v="3"/>
  </r>
  <r>
    <n v="694"/>
    <s v="Mora-Bradley"/>
    <s v="Programmable tangible ability"/>
    <n v="9100"/>
    <n v="7656"/>
    <x v="0"/>
    <n v="79"/>
    <x v="1"/>
    <s v="USD"/>
    <n v="84.131868131868131"/>
    <n v="1511762400"/>
    <n v="96.911392405063296"/>
    <n v="1514959200"/>
    <b v="0"/>
    <b v="0"/>
    <s v="theater/plays"/>
    <x v="3"/>
    <x v="3"/>
  </r>
  <r>
    <n v="695"/>
    <s v="Cardenas, Thompson and Carey"/>
    <s v="Configurable full-range emulation"/>
    <n v="9200"/>
    <n v="12322"/>
    <x v="1"/>
    <n v="196"/>
    <x v="6"/>
    <s v="EUR"/>
    <n v="133.93478260869566"/>
    <n v="1447480800"/>
    <n v="62.867346938775512"/>
    <n v="1448863200"/>
    <b v="1"/>
    <b v="0"/>
    <s v="music/rock"/>
    <x v="1"/>
    <x v="1"/>
  </r>
  <r>
    <n v="696"/>
    <s v="Lopez, Reid and Johnson"/>
    <s v="Total real-time hardware"/>
    <n v="164100"/>
    <n v="96888"/>
    <x v="0"/>
    <n v="889"/>
    <x v="1"/>
    <s v="USD"/>
    <n v="59.042047531992694"/>
    <n v="1429506000"/>
    <n v="108.98537682789652"/>
    <n v="1429592400"/>
    <b v="0"/>
    <b v="1"/>
    <s v="theater/plays"/>
    <x v="3"/>
    <x v="3"/>
  </r>
  <r>
    <n v="697"/>
    <s v="Fox-Williams"/>
    <s v="Profound system-worthy functionalities"/>
    <n v="128900"/>
    <n v="196960"/>
    <x v="1"/>
    <n v="7295"/>
    <x v="1"/>
    <s v="USD"/>
    <n v="152.80062063615205"/>
    <n v="1522472400"/>
    <n v="26.999314599040439"/>
    <n v="1522645200"/>
    <b v="0"/>
    <b v="0"/>
    <s v="music/electric music"/>
    <x v="1"/>
    <x v="5"/>
  </r>
  <r>
    <n v="698"/>
    <s v="Taylor, Wood and Taylor"/>
    <s v="Cloned hybrid focus group"/>
    <n v="42100"/>
    <n v="188057"/>
    <x v="1"/>
    <n v="2893"/>
    <x v="0"/>
    <s v="CAD"/>
    <n v="446.69121140142522"/>
    <n v="1322114400"/>
    <n v="65.004147943311438"/>
    <n v="1323324000"/>
    <b v="0"/>
    <b v="0"/>
    <s v="technology/wearables"/>
    <x v="2"/>
    <x v="8"/>
  </r>
  <r>
    <n v="699"/>
    <s v="King Inc"/>
    <s v="Ergonomic dedicated focus group"/>
    <n v="7400"/>
    <n v="6245"/>
    <x v="0"/>
    <n v="56"/>
    <x v="1"/>
    <s v="USD"/>
    <n v="84.391891891891888"/>
    <n v="1561438800"/>
    <n v="111.51785714285714"/>
    <n v="1561525200"/>
    <b v="0"/>
    <b v="0"/>
    <s v="film &amp; video/drama"/>
    <x v="4"/>
    <x v="6"/>
  </r>
  <r>
    <n v="700"/>
    <s v="Cole, Petty and Cameron"/>
    <s v="Realigned zero administration paradigm"/>
    <n v="100"/>
    <n v="3"/>
    <x v="0"/>
    <n v="1"/>
    <x v="1"/>
    <s v="USD"/>
    <n v="3"/>
    <n v="1264399200"/>
    <n v="3"/>
    <n v="1265695200"/>
    <b v="0"/>
    <b v="0"/>
    <s v="technology/wearables"/>
    <x v="2"/>
    <x v="8"/>
  </r>
  <r>
    <n v="701"/>
    <s v="Mcclain LLC"/>
    <s v="Open-source multi-tasking methodology"/>
    <n v="52000"/>
    <n v="91014"/>
    <x v="1"/>
    <n v="820"/>
    <x v="1"/>
    <s v="USD"/>
    <n v="175.02692307692308"/>
    <n v="1301202000"/>
    <n v="110.99268292682927"/>
    <n v="1301806800"/>
    <b v="1"/>
    <b v="0"/>
    <s v="theater/plays"/>
    <x v="3"/>
    <x v="3"/>
  </r>
  <r>
    <n v="702"/>
    <s v="Sims-Gross"/>
    <s v="Object-based attitude-oriented analyzer"/>
    <n v="8700"/>
    <n v="4710"/>
    <x v="0"/>
    <n v="83"/>
    <x v="1"/>
    <s v="USD"/>
    <n v="54.137931034482754"/>
    <n v="1374469200"/>
    <n v="56.746987951807228"/>
    <n v="1374901200"/>
    <b v="0"/>
    <b v="0"/>
    <s v="technology/wearables"/>
    <x v="2"/>
    <x v="8"/>
  </r>
  <r>
    <n v="703"/>
    <s v="Perez Group"/>
    <s v="Cross-platform tertiary hub"/>
    <n v="63400"/>
    <n v="197728"/>
    <x v="1"/>
    <n v="2038"/>
    <x v="1"/>
    <s v="USD"/>
    <n v="311.87381703470032"/>
    <n v="1334984400"/>
    <n v="97.020608439646708"/>
    <n v="1336453200"/>
    <b v="1"/>
    <b v="1"/>
    <s v="publishing/translations"/>
    <x v="5"/>
    <x v="18"/>
  </r>
  <r>
    <n v="704"/>
    <s v="Haynes-Williams"/>
    <s v="Seamless clear-thinking artificial intelligence"/>
    <n v="8700"/>
    <n v="10682"/>
    <x v="1"/>
    <n v="116"/>
    <x v="1"/>
    <s v="USD"/>
    <n v="122.78160919540231"/>
    <n v="1467608400"/>
    <n v="92.08620689655173"/>
    <n v="1468904400"/>
    <b v="0"/>
    <b v="0"/>
    <s v="film &amp; video/animation"/>
    <x v="4"/>
    <x v="10"/>
  </r>
  <r>
    <n v="705"/>
    <s v="Ford LLC"/>
    <s v="Centralized tangible success"/>
    <n v="169700"/>
    <n v="168048"/>
    <x v="0"/>
    <n v="2025"/>
    <x v="4"/>
    <s v="GBP"/>
    <n v="99.026517383618156"/>
    <n v="1386741600"/>
    <n v="82.986666666666665"/>
    <n v="1387087200"/>
    <b v="0"/>
    <b v="0"/>
    <s v="publishing/nonfiction"/>
    <x v="5"/>
    <x v="9"/>
  </r>
  <r>
    <n v="706"/>
    <s v="Moreno Ltd"/>
    <s v="Customer-focused multimedia methodology"/>
    <n v="108400"/>
    <n v="138586"/>
    <x v="1"/>
    <n v="1345"/>
    <x v="2"/>
    <s v="AUD"/>
    <n v="127.84686346863469"/>
    <n v="1546754400"/>
    <n v="103.03791821561339"/>
    <n v="1547445600"/>
    <b v="0"/>
    <b v="1"/>
    <s v="technology/web"/>
    <x v="2"/>
    <x v="2"/>
  </r>
  <r>
    <n v="707"/>
    <s v="Moore, Cook and Wright"/>
    <s v="Visionary maximized Local Area Network"/>
    <n v="7300"/>
    <n v="11579"/>
    <x v="1"/>
    <n v="168"/>
    <x v="1"/>
    <s v="USD"/>
    <n v="158.61643835616439"/>
    <n v="1544248800"/>
    <n v="68.922619047619051"/>
    <n v="1547359200"/>
    <b v="0"/>
    <b v="0"/>
    <s v="film &amp; video/drama"/>
    <x v="4"/>
    <x v="6"/>
  </r>
  <r>
    <n v="708"/>
    <s v="Ortega LLC"/>
    <s v="Secured bifurcated intranet"/>
    <n v="1700"/>
    <n v="12020"/>
    <x v="1"/>
    <n v="137"/>
    <x v="5"/>
    <s v="CHF"/>
    <n v="707.05882352941171"/>
    <n v="1495429200"/>
    <n v="87.737226277372258"/>
    <n v="1496293200"/>
    <b v="0"/>
    <b v="0"/>
    <s v="theater/plays"/>
    <x v="3"/>
    <x v="3"/>
  </r>
  <r>
    <n v="709"/>
    <s v="Silva, Walker and Martin"/>
    <s v="Grass-roots 4thgeneration product"/>
    <n v="9800"/>
    <n v="13954"/>
    <x v="1"/>
    <n v="186"/>
    <x v="6"/>
    <s v="EUR"/>
    <n v="142.38775510204081"/>
    <n v="1334811600"/>
    <n v="75.021505376344081"/>
    <n v="1335416400"/>
    <b v="0"/>
    <b v="0"/>
    <s v="theater/plays"/>
    <x v="3"/>
    <x v="3"/>
  </r>
  <r>
    <n v="710"/>
    <s v="Huynh, Gallegos and Mills"/>
    <s v="Reduced next generation info-mediaries"/>
    <n v="4300"/>
    <n v="6358"/>
    <x v="1"/>
    <n v="125"/>
    <x v="1"/>
    <s v="USD"/>
    <n v="147.86046511627907"/>
    <n v="1531544400"/>
    <n v="50.863999999999997"/>
    <n v="1532149200"/>
    <b v="0"/>
    <b v="1"/>
    <s v="theater/plays"/>
    <x v="3"/>
    <x v="3"/>
  </r>
  <r>
    <n v="711"/>
    <s v="Anderson LLC"/>
    <s v="Customizable full-range artificial intelligence"/>
    <n v="6200"/>
    <n v="1260"/>
    <x v="0"/>
    <n v="14"/>
    <x v="6"/>
    <s v="EUR"/>
    <n v="20.322580645161288"/>
    <n v="1453615200"/>
    <n v="90"/>
    <n v="1453788000"/>
    <b v="1"/>
    <b v="1"/>
    <s v="theater/plays"/>
    <x v="3"/>
    <x v="3"/>
  </r>
  <r>
    <n v="712"/>
    <s v="Garza-Bryant"/>
    <s v="Programmable leadingedge contingency"/>
    <n v="800"/>
    <n v="14725"/>
    <x v="1"/>
    <n v="202"/>
    <x v="1"/>
    <s v="USD"/>
    <n v="1840.625"/>
    <n v="1467954000"/>
    <n v="72.896039603960389"/>
    <n v="1471496400"/>
    <b v="0"/>
    <b v="0"/>
    <s v="theater/plays"/>
    <x v="3"/>
    <x v="3"/>
  </r>
  <r>
    <n v="713"/>
    <s v="Mays LLC"/>
    <s v="Multi-layered global groupware"/>
    <n v="6900"/>
    <n v="11174"/>
    <x v="1"/>
    <n v="103"/>
    <x v="1"/>
    <s v="USD"/>
    <n v="161.94202898550725"/>
    <n v="1471842000"/>
    <n v="108.48543689320388"/>
    <n v="1472878800"/>
    <b v="0"/>
    <b v="0"/>
    <s v="publishing/radio &amp; podcasts"/>
    <x v="5"/>
    <x v="15"/>
  </r>
  <r>
    <n v="714"/>
    <s v="Evans-Jones"/>
    <s v="Switchable methodical superstructure"/>
    <n v="38500"/>
    <n v="182036"/>
    <x v="1"/>
    <n v="1785"/>
    <x v="1"/>
    <s v="USD"/>
    <n v="472.82077922077923"/>
    <n v="1408424400"/>
    <n v="101.98095238095237"/>
    <n v="1408510800"/>
    <b v="0"/>
    <b v="0"/>
    <s v="music/rock"/>
    <x v="1"/>
    <x v="1"/>
  </r>
  <r>
    <n v="715"/>
    <s v="Fischer, Torres and Walker"/>
    <s v="Expanded even-keeled portal"/>
    <n v="118000"/>
    <n v="28870"/>
    <x v="0"/>
    <n v="656"/>
    <x v="1"/>
    <s v="USD"/>
    <n v="24.466101694915253"/>
    <n v="1281157200"/>
    <n v="44.009146341463413"/>
    <n v="1281589200"/>
    <b v="0"/>
    <b v="0"/>
    <s v="games/mobile games"/>
    <x v="6"/>
    <x v="20"/>
  </r>
  <r>
    <n v="716"/>
    <s v="Tapia, Kramer and Hicks"/>
    <s v="Advanced modular moderator"/>
    <n v="2000"/>
    <n v="10353"/>
    <x v="1"/>
    <n v="157"/>
    <x v="1"/>
    <s v="USD"/>
    <n v="517.65"/>
    <n v="1373432400"/>
    <n v="65.942675159235662"/>
    <n v="1375851600"/>
    <b v="0"/>
    <b v="1"/>
    <s v="theater/plays"/>
    <x v="3"/>
    <x v="3"/>
  </r>
  <r>
    <n v="717"/>
    <s v="Barnes, Wilcox and Riley"/>
    <s v="Reverse-engineered well-modulated ability"/>
    <n v="5600"/>
    <n v="13868"/>
    <x v="1"/>
    <n v="555"/>
    <x v="1"/>
    <s v="USD"/>
    <n v="247.64285714285714"/>
    <n v="1313989200"/>
    <n v="24.987387387387386"/>
    <n v="1315803600"/>
    <b v="0"/>
    <b v="0"/>
    <s v="film &amp; video/documentary"/>
    <x v="4"/>
    <x v="4"/>
  </r>
  <r>
    <n v="718"/>
    <s v="Reyes PLC"/>
    <s v="Expanded optimal pricing structure"/>
    <n v="8300"/>
    <n v="8317"/>
    <x v="1"/>
    <n v="297"/>
    <x v="1"/>
    <s v="USD"/>
    <n v="100.20481927710843"/>
    <n v="1371445200"/>
    <n v="28.003367003367003"/>
    <n v="1373691600"/>
    <b v="0"/>
    <b v="0"/>
    <s v="technology/wearables"/>
    <x v="2"/>
    <x v="8"/>
  </r>
  <r>
    <n v="719"/>
    <s v="Pace, Simpson and Watkins"/>
    <s v="Down-sized uniform ability"/>
    <n v="6900"/>
    <n v="10557"/>
    <x v="1"/>
    <n v="123"/>
    <x v="1"/>
    <s v="USD"/>
    <n v="153"/>
    <n v="1338267600"/>
    <n v="85.829268292682926"/>
    <n v="1339218000"/>
    <b v="0"/>
    <b v="0"/>
    <s v="publishing/fiction"/>
    <x v="5"/>
    <x v="13"/>
  </r>
  <r>
    <n v="720"/>
    <s v="Valenzuela, Davidson and Castro"/>
    <s v="Multi-layered upward-trending conglomeration"/>
    <n v="8700"/>
    <n v="3227"/>
    <x v="3"/>
    <n v="38"/>
    <x v="3"/>
    <s v="DKK"/>
    <n v="37.091954022988503"/>
    <n v="1519192800"/>
    <n v="84.921052631578945"/>
    <n v="1520402400"/>
    <b v="0"/>
    <b v="1"/>
    <s v="theater/plays"/>
    <x v="3"/>
    <x v="3"/>
  </r>
  <r>
    <n v="721"/>
    <s v="Dominguez-Owens"/>
    <s v="Open-architected systematic intranet"/>
    <n v="123600"/>
    <n v="5429"/>
    <x v="3"/>
    <n v="60"/>
    <x v="1"/>
    <s v="USD"/>
    <n v="4.392394822006473"/>
    <n v="1522818000"/>
    <n v="90.483333333333334"/>
    <n v="1523336400"/>
    <b v="0"/>
    <b v="0"/>
    <s v="music/rock"/>
    <x v="1"/>
    <x v="1"/>
  </r>
  <r>
    <n v="722"/>
    <s v="Thomas-Simmons"/>
    <s v="Proactive 24hour frame"/>
    <n v="48500"/>
    <n v="75906"/>
    <x v="1"/>
    <n v="3036"/>
    <x v="1"/>
    <s v="USD"/>
    <n v="156.50721649484535"/>
    <n v="1509948000"/>
    <n v="25.00197628458498"/>
    <n v="1512280800"/>
    <b v="0"/>
    <b v="0"/>
    <s v="film &amp; video/documentary"/>
    <x v="4"/>
    <x v="4"/>
  </r>
  <r>
    <n v="723"/>
    <s v="Beck-Knight"/>
    <s v="Exclusive fresh-thinking model"/>
    <n v="4900"/>
    <n v="13250"/>
    <x v="1"/>
    <n v="144"/>
    <x v="2"/>
    <s v="AUD"/>
    <n v="270.40816326530609"/>
    <n v="1456898400"/>
    <n v="92.013888888888886"/>
    <n v="1458709200"/>
    <b v="0"/>
    <b v="0"/>
    <s v="theater/plays"/>
    <x v="3"/>
    <x v="3"/>
  </r>
  <r>
    <n v="724"/>
    <s v="Mccoy Ltd"/>
    <s v="Business-focused encompassing intranet"/>
    <n v="8400"/>
    <n v="11261"/>
    <x v="1"/>
    <n v="121"/>
    <x v="4"/>
    <s v="GBP"/>
    <n v="134.05952380952382"/>
    <n v="1413954000"/>
    <n v="93.066115702479337"/>
    <n v="1414126800"/>
    <b v="0"/>
    <b v="1"/>
    <s v="theater/plays"/>
    <x v="3"/>
    <x v="3"/>
  </r>
  <r>
    <n v="725"/>
    <s v="Dawson-Tyler"/>
    <s v="Optional 6thgeneration access"/>
    <n v="193200"/>
    <n v="97369"/>
    <x v="0"/>
    <n v="1596"/>
    <x v="1"/>
    <s v="USD"/>
    <n v="50.398033126293996"/>
    <n v="1416031200"/>
    <n v="61.008145363408524"/>
    <n v="1416204000"/>
    <b v="0"/>
    <b v="0"/>
    <s v="games/mobile games"/>
    <x v="6"/>
    <x v="20"/>
  </r>
  <r>
    <n v="726"/>
    <s v="Johns-Thomas"/>
    <s v="Realigned web-enabled functionalities"/>
    <n v="54300"/>
    <n v="48227"/>
    <x v="3"/>
    <n v="524"/>
    <x v="1"/>
    <s v="USD"/>
    <n v="88.815837937384899"/>
    <n v="1287982800"/>
    <n v="92.036259541984734"/>
    <n v="1288501200"/>
    <b v="0"/>
    <b v="1"/>
    <s v="theater/plays"/>
    <x v="3"/>
    <x v="3"/>
  </r>
  <r>
    <n v="727"/>
    <s v="Quinn, Cruz and Schmidt"/>
    <s v="Enterprise-wide multimedia software"/>
    <n v="8900"/>
    <n v="14685"/>
    <x v="1"/>
    <n v="181"/>
    <x v="1"/>
    <s v="USD"/>
    <n v="165"/>
    <n v="1547964000"/>
    <n v="81.132596685082873"/>
    <n v="1552971600"/>
    <b v="0"/>
    <b v="0"/>
    <s v="technology/web"/>
    <x v="2"/>
    <x v="2"/>
  </r>
  <r>
    <n v="728"/>
    <s v="Stewart Inc"/>
    <s v="Versatile mission-critical knowledgebase"/>
    <n v="4200"/>
    <n v="735"/>
    <x v="0"/>
    <n v="10"/>
    <x v="1"/>
    <s v="USD"/>
    <n v="17.5"/>
    <n v="1464152400"/>
    <n v="73.5"/>
    <n v="1465102800"/>
    <b v="0"/>
    <b v="0"/>
    <s v="theater/plays"/>
    <x v="3"/>
    <x v="3"/>
  </r>
  <r>
    <n v="729"/>
    <s v="Moore Group"/>
    <s v="Multi-lateral object-oriented open system"/>
    <n v="5600"/>
    <n v="10397"/>
    <x v="1"/>
    <n v="122"/>
    <x v="1"/>
    <s v="USD"/>
    <n v="185.66071428571428"/>
    <n v="1359957600"/>
    <n v="85.221311475409834"/>
    <n v="1360130400"/>
    <b v="0"/>
    <b v="0"/>
    <s v="film &amp; video/drama"/>
    <x v="4"/>
    <x v="6"/>
  </r>
  <r>
    <n v="730"/>
    <s v="Carson PLC"/>
    <s v="Visionary system-worthy attitude"/>
    <n v="28800"/>
    <n v="118847"/>
    <x v="1"/>
    <n v="1071"/>
    <x v="0"/>
    <s v="CAD"/>
    <n v="412.6631944444444"/>
    <n v="1432357200"/>
    <n v="110.96825396825396"/>
    <n v="1432875600"/>
    <b v="0"/>
    <b v="0"/>
    <s v="technology/wearables"/>
    <x v="2"/>
    <x v="8"/>
  </r>
  <r>
    <n v="731"/>
    <s v="Cruz, Hall and Mason"/>
    <s v="Synergized content-based hierarchy"/>
    <n v="8000"/>
    <n v="7220"/>
    <x v="3"/>
    <n v="219"/>
    <x v="1"/>
    <s v="USD"/>
    <n v="90.25"/>
    <n v="1500786000"/>
    <n v="32.968036529680369"/>
    <n v="1500872400"/>
    <b v="0"/>
    <b v="0"/>
    <s v="technology/web"/>
    <x v="2"/>
    <x v="2"/>
  </r>
  <r>
    <n v="732"/>
    <s v="Glass, Baker and Jones"/>
    <s v="Business-focused 24hour access"/>
    <n v="117000"/>
    <n v="107622"/>
    <x v="0"/>
    <n v="1121"/>
    <x v="1"/>
    <s v="USD"/>
    <n v="91.984615384615381"/>
    <n v="1490158800"/>
    <n v="96.005352363960753"/>
    <n v="1492146000"/>
    <b v="0"/>
    <b v="1"/>
    <s v="music/rock"/>
    <x v="1"/>
    <x v="1"/>
  </r>
  <r>
    <n v="733"/>
    <s v="Marquez-Kerr"/>
    <s v="Automated hybrid orchestration"/>
    <n v="15800"/>
    <n v="83267"/>
    <x v="1"/>
    <n v="980"/>
    <x v="1"/>
    <s v="USD"/>
    <n v="527.00632911392404"/>
    <n v="1406178000"/>
    <n v="84.96632653061225"/>
    <n v="1407301200"/>
    <b v="0"/>
    <b v="0"/>
    <s v="music/metal"/>
    <x v="1"/>
    <x v="16"/>
  </r>
  <r>
    <n v="734"/>
    <s v="Stone PLC"/>
    <s v="Exclusive 5thgeneration leverage"/>
    <n v="4200"/>
    <n v="13404"/>
    <x v="1"/>
    <n v="536"/>
    <x v="1"/>
    <s v="USD"/>
    <n v="319.14285714285711"/>
    <n v="1485583200"/>
    <n v="25.007462686567163"/>
    <n v="1486620000"/>
    <b v="0"/>
    <b v="1"/>
    <s v="theater/plays"/>
    <x v="3"/>
    <x v="3"/>
  </r>
  <r>
    <n v="735"/>
    <s v="Caldwell PLC"/>
    <s v="Grass-roots zero administration alliance"/>
    <n v="37100"/>
    <n v="131404"/>
    <x v="1"/>
    <n v="1991"/>
    <x v="1"/>
    <s v="USD"/>
    <n v="354.18867924528303"/>
    <n v="1459314000"/>
    <n v="65.998995479658461"/>
    <n v="1459918800"/>
    <b v="0"/>
    <b v="0"/>
    <s v="photography/photography books"/>
    <x v="7"/>
    <x v="14"/>
  </r>
  <r>
    <n v="736"/>
    <s v="Silva-Hawkins"/>
    <s v="Proactive heuristic orchestration"/>
    <n v="7700"/>
    <n v="2533"/>
    <x v="3"/>
    <n v="29"/>
    <x v="1"/>
    <s v="USD"/>
    <n v="32.896103896103895"/>
    <n v="1424412000"/>
    <n v="87.34482758620689"/>
    <n v="1424757600"/>
    <b v="0"/>
    <b v="0"/>
    <s v="publishing/nonfiction"/>
    <x v="5"/>
    <x v="9"/>
  </r>
  <r>
    <n v="737"/>
    <s v="Gardner Inc"/>
    <s v="Function-based systematic Graphical User Interface"/>
    <n v="3700"/>
    <n v="5028"/>
    <x v="1"/>
    <n v="180"/>
    <x v="1"/>
    <s v="USD"/>
    <n v="135.8918918918919"/>
    <n v="1478844000"/>
    <n v="27.933333333333334"/>
    <n v="1479880800"/>
    <b v="0"/>
    <b v="0"/>
    <s v="music/indie rock"/>
    <x v="1"/>
    <x v="7"/>
  </r>
  <r>
    <n v="738"/>
    <s v="Garcia Group"/>
    <s v="Extended zero administration software"/>
    <n v="74700"/>
    <n v="1557"/>
    <x v="0"/>
    <n v="15"/>
    <x v="1"/>
    <s v="USD"/>
    <n v="2.0843373493975905"/>
    <n v="1416117600"/>
    <n v="103.8"/>
    <n v="1418018400"/>
    <b v="0"/>
    <b v="1"/>
    <s v="theater/plays"/>
    <x v="3"/>
    <x v="3"/>
  </r>
  <r>
    <n v="739"/>
    <s v="Meyer-Avila"/>
    <s v="Multi-tiered discrete support"/>
    <n v="10000"/>
    <n v="6100"/>
    <x v="0"/>
    <n v="191"/>
    <x v="1"/>
    <s v="USD"/>
    <n v="61"/>
    <n v="1340946000"/>
    <n v="31.937172774869111"/>
    <n v="1341032400"/>
    <b v="0"/>
    <b v="0"/>
    <s v="music/indie rock"/>
    <x v="1"/>
    <x v="7"/>
  </r>
  <r>
    <n v="740"/>
    <s v="Nelson, Smith and Graham"/>
    <s v="Phased system-worthy conglomeration"/>
    <n v="5300"/>
    <n v="1592"/>
    <x v="0"/>
    <n v="16"/>
    <x v="1"/>
    <s v="USD"/>
    <n v="30.037735849056602"/>
    <n v="1486101600"/>
    <n v="99.5"/>
    <n v="1486360800"/>
    <b v="0"/>
    <b v="0"/>
    <s v="theater/plays"/>
    <x v="3"/>
    <x v="3"/>
  </r>
  <r>
    <n v="741"/>
    <s v="Garcia Ltd"/>
    <s v="Balanced mobile alliance"/>
    <n v="1200"/>
    <n v="14150"/>
    <x v="1"/>
    <n v="130"/>
    <x v="1"/>
    <s v="USD"/>
    <n v="1179.1666666666665"/>
    <n v="1274590800"/>
    <n v="108.84615384615384"/>
    <n v="1274677200"/>
    <b v="0"/>
    <b v="0"/>
    <s v="theater/plays"/>
    <x v="3"/>
    <x v="3"/>
  </r>
  <r>
    <n v="742"/>
    <s v="West-Stevens"/>
    <s v="Reactive solution-oriented groupware"/>
    <n v="1200"/>
    <n v="13513"/>
    <x v="1"/>
    <n v="122"/>
    <x v="1"/>
    <s v="USD"/>
    <n v="1126.0833333333335"/>
    <n v="1263880800"/>
    <n v="110.76229508196721"/>
    <n v="1267509600"/>
    <b v="0"/>
    <b v="0"/>
    <s v="music/electric music"/>
    <x v="1"/>
    <x v="5"/>
  </r>
  <r>
    <n v="743"/>
    <s v="Clark-Conrad"/>
    <s v="Exclusive bandwidth-monitored orchestration"/>
    <n v="3900"/>
    <n v="504"/>
    <x v="0"/>
    <n v="17"/>
    <x v="1"/>
    <s v="USD"/>
    <n v="12.923076923076923"/>
    <n v="1445403600"/>
    <n v="29.647058823529413"/>
    <n v="1445922000"/>
    <b v="0"/>
    <b v="1"/>
    <s v="theater/plays"/>
    <x v="3"/>
    <x v="3"/>
  </r>
  <r>
    <n v="744"/>
    <s v="Fitzgerald Group"/>
    <s v="Intuitive exuding initiative"/>
    <n v="2000"/>
    <n v="14240"/>
    <x v="1"/>
    <n v="140"/>
    <x v="1"/>
    <s v="USD"/>
    <n v="712"/>
    <n v="1533877200"/>
    <n v="101.71428571428571"/>
    <n v="1534050000"/>
    <b v="0"/>
    <b v="1"/>
    <s v="theater/plays"/>
    <x v="3"/>
    <x v="3"/>
  </r>
  <r>
    <n v="745"/>
    <s v="Hill, Mccann and Moore"/>
    <s v="Streamlined needs-based knowledge user"/>
    <n v="6900"/>
    <n v="2091"/>
    <x v="0"/>
    <n v="34"/>
    <x v="1"/>
    <s v="USD"/>
    <n v="30.304347826086957"/>
    <n v="1275195600"/>
    <n v="61.5"/>
    <n v="1277528400"/>
    <b v="0"/>
    <b v="0"/>
    <s v="technology/wearables"/>
    <x v="2"/>
    <x v="8"/>
  </r>
  <r>
    <n v="746"/>
    <s v="Edwards LLC"/>
    <s v="Automated system-worthy structure"/>
    <n v="55800"/>
    <n v="118580"/>
    <x v="1"/>
    <n v="3388"/>
    <x v="1"/>
    <s v="USD"/>
    <n v="212.50896057347671"/>
    <n v="1318136400"/>
    <n v="35"/>
    <n v="1318568400"/>
    <b v="0"/>
    <b v="0"/>
    <s v="technology/web"/>
    <x v="2"/>
    <x v="2"/>
  </r>
  <r>
    <n v="747"/>
    <s v="Greer and Sons"/>
    <s v="Secured clear-thinking intranet"/>
    <n v="4900"/>
    <n v="11214"/>
    <x v="1"/>
    <n v="280"/>
    <x v="1"/>
    <s v="USD"/>
    <n v="228.85714285714286"/>
    <n v="1283403600"/>
    <n v="40.049999999999997"/>
    <n v="1284354000"/>
    <b v="0"/>
    <b v="0"/>
    <s v="theater/plays"/>
    <x v="3"/>
    <x v="3"/>
  </r>
  <r>
    <n v="748"/>
    <s v="Martinez PLC"/>
    <s v="Cloned actuating architecture"/>
    <n v="194900"/>
    <n v="68137"/>
    <x v="3"/>
    <n v="614"/>
    <x v="1"/>
    <s v="USD"/>
    <n v="34.959979476654695"/>
    <n v="1267423200"/>
    <n v="110.97231270358306"/>
    <n v="1269579600"/>
    <b v="0"/>
    <b v="1"/>
    <s v="film &amp; video/animation"/>
    <x v="4"/>
    <x v="10"/>
  </r>
  <r>
    <n v="749"/>
    <s v="Hunter-Logan"/>
    <s v="Down-sized needs-based task-force"/>
    <n v="8600"/>
    <n v="13527"/>
    <x v="1"/>
    <n v="366"/>
    <x v="6"/>
    <s v="EUR"/>
    <n v="157.29069767441862"/>
    <n v="1412744400"/>
    <n v="36.959016393442624"/>
    <n v="1413781200"/>
    <b v="0"/>
    <b v="1"/>
    <s v="technology/wearables"/>
    <x v="2"/>
    <x v="8"/>
  </r>
  <r>
    <n v="750"/>
    <s v="Ramos and Sons"/>
    <s v="Extended responsive Internet solution"/>
    <n v="100"/>
    <n v="1"/>
    <x v="0"/>
    <n v="1"/>
    <x v="4"/>
    <s v="GBP"/>
    <n v="1"/>
    <n v="1277960400"/>
    <n v="1"/>
    <n v="1280120400"/>
    <b v="0"/>
    <b v="0"/>
    <s v="music/electric music"/>
    <x v="1"/>
    <x v="5"/>
  </r>
  <r>
    <n v="751"/>
    <s v="Lane-Barber"/>
    <s v="Universal value-added moderator"/>
    <n v="3600"/>
    <n v="8363"/>
    <x v="1"/>
    <n v="270"/>
    <x v="1"/>
    <s v="USD"/>
    <n v="232.30555555555554"/>
    <n v="1458190800"/>
    <n v="30.974074074074075"/>
    <n v="1459486800"/>
    <b v="1"/>
    <b v="1"/>
    <s v="publishing/nonfiction"/>
    <x v="5"/>
    <x v="9"/>
  </r>
  <r>
    <n v="752"/>
    <s v="Lowery Group"/>
    <s v="Sharable motivating emulation"/>
    <n v="5800"/>
    <n v="5362"/>
    <x v="3"/>
    <n v="114"/>
    <x v="1"/>
    <s v="USD"/>
    <n v="92.448275862068968"/>
    <n v="1280984400"/>
    <n v="47.035087719298247"/>
    <n v="1282539600"/>
    <b v="0"/>
    <b v="1"/>
    <s v="theater/plays"/>
    <x v="3"/>
    <x v="3"/>
  </r>
  <r>
    <n v="753"/>
    <s v="Guerrero-Griffin"/>
    <s v="Networked web-enabled product"/>
    <n v="4700"/>
    <n v="12065"/>
    <x v="1"/>
    <n v="137"/>
    <x v="1"/>
    <s v="USD"/>
    <n v="256.70212765957444"/>
    <n v="1274590800"/>
    <n v="88.065693430656935"/>
    <n v="1275886800"/>
    <b v="0"/>
    <b v="0"/>
    <s v="photography/photography books"/>
    <x v="7"/>
    <x v="14"/>
  </r>
  <r>
    <n v="754"/>
    <s v="Perez, Reed and Lee"/>
    <s v="Advanced dedicated encoding"/>
    <n v="70400"/>
    <n v="118603"/>
    <x v="1"/>
    <n v="3205"/>
    <x v="1"/>
    <s v="USD"/>
    <n v="168.47017045454547"/>
    <n v="1351400400"/>
    <n v="37.005616224648989"/>
    <n v="1355983200"/>
    <b v="0"/>
    <b v="0"/>
    <s v="theater/plays"/>
    <x v="3"/>
    <x v="3"/>
  </r>
  <r>
    <n v="755"/>
    <s v="Chen, Pollard and Clarke"/>
    <s v="Stand-alone multi-state project"/>
    <n v="4500"/>
    <n v="7496"/>
    <x v="1"/>
    <n v="288"/>
    <x v="3"/>
    <s v="DKK"/>
    <n v="166.57777777777778"/>
    <n v="1514354400"/>
    <n v="26.027777777777779"/>
    <n v="1515391200"/>
    <b v="0"/>
    <b v="1"/>
    <s v="theater/plays"/>
    <x v="3"/>
    <x v="3"/>
  </r>
  <r>
    <n v="756"/>
    <s v="Serrano, Gallagher and Griffith"/>
    <s v="Customizable bi-directional monitoring"/>
    <n v="1300"/>
    <n v="10037"/>
    <x v="1"/>
    <n v="148"/>
    <x v="1"/>
    <s v="USD"/>
    <n v="772.07692307692309"/>
    <n v="1421733600"/>
    <n v="67.817567567567565"/>
    <n v="1422252000"/>
    <b v="0"/>
    <b v="0"/>
    <s v="theater/plays"/>
    <x v="3"/>
    <x v="3"/>
  </r>
  <r>
    <n v="757"/>
    <s v="Callahan-Gilbert"/>
    <s v="Profit-focused motivating function"/>
    <n v="1400"/>
    <n v="5696"/>
    <x v="1"/>
    <n v="114"/>
    <x v="1"/>
    <s v="USD"/>
    <n v="406.85714285714283"/>
    <n v="1305176400"/>
    <n v="49.964912280701753"/>
    <n v="1305522000"/>
    <b v="0"/>
    <b v="0"/>
    <s v="film &amp; video/drama"/>
    <x v="4"/>
    <x v="6"/>
  </r>
  <r>
    <n v="758"/>
    <s v="Logan-Miranda"/>
    <s v="Proactive systemic firmware"/>
    <n v="29600"/>
    <n v="167005"/>
    <x v="1"/>
    <n v="1518"/>
    <x v="0"/>
    <s v="CAD"/>
    <n v="564.20608108108115"/>
    <n v="1414126800"/>
    <n v="110.01646903820817"/>
    <n v="1414904400"/>
    <b v="0"/>
    <b v="0"/>
    <s v="music/rock"/>
    <x v="1"/>
    <x v="1"/>
  </r>
  <r>
    <n v="759"/>
    <s v="Rodriguez PLC"/>
    <s v="Grass-roots upward-trending installation"/>
    <n v="167500"/>
    <n v="114615"/>
    <x v="0"/>
    <n v="1274"/>
    <x v="1"/>
    <s v="USD"/>
    <n v="68.426865671641792"/>
    <n v="1517810400"/>
    <n v="89.964678178963894"/>
    <n v="1520402400"/>
    <b v="0"/>
    <b v="0"/>
    <s v="music/electric music"/>
    <x v="1"/>
    <x v="5"/>
  </r>
  <r>
    <n v="760"/>
    <s v="Smith-Kennedy"/>
    <s v="Virtual heuristic hub"/>
    <n v="48300"/>
    <n v="16592"/>
    <x v="0"/>
    <n v="210"/>
    <x v="6"/>
    <s v="EUR"/>
    <n v="34.351966873706004"/>
    <n v="1564635600"/>
    <n v="79.009523809523813"/>
    <n v="1567141200"/>
    <b v="0"/>
    <b v="1"/>
    <s v="games/video games"/>
    <x v="6"/>
    <x v="11"/>
  </r>
  <r>
    <n v="761"/>
    <s v="Mitchell-Lee"/>
    <s v="Customizable leadingedge model"/>
    <n v="2200"/>
    <n v="14420"/>
    <x v="1"/>
    <n v="166"/>
    <x v="1"/>
    <s v="USD"/>
    <n v="655.4545454545455"/>
    <n v="1500699600"/>
    <n v="86.867469879518069"/>
    <n v="1501131600"/>
    <b v="0"/>
    <b v="0"/>
    <s v="music/rock"/>
    <x v="1"/>
    <x v="1"/>
  </r>
  <r>
    <n v="762"/>
    <s v="Davis Ltd"/>
    <s v="Upgradable uniform service-desk"/>
    <n v="3500"/>
    <n v="6204"/>
    <x v="1"/>
    <n v="100"/>
    <x v="2"/>
    <s v="AUD"/>
    <n v="177.25714285714284"/>
    <n v="1354082400"/>
    <n v="62.04"/>
    <n v="1355032800"/>
    <b v="0"/>
    <b v="0"/>
    <s v="music/jazz"/>
    <x v="1"/>
    <x v="17"/>
  </r>
  <r>
    <n v="763"/>
    <s v="Rowland PLC"/>
    <s v="Inverse client-driven product"/>
    <n v="5600"/>
    <n v="6338"/>
    <x v="1"/>
    <n v="235"/>
    <x v="1"/>
    <s v="USD"/>
    <n v="113.17857142857144"/>
    <n v="1336453200"/>
    <n v="26.970212765957445"/>
    <n v="1339477200"/>
    <b v="0"/>
    <b v="1"/>
    <s v="theater/plays"/>
    <x v="3"/>
    <x v="3"/>
  </r>
  <r>
    <n v="764"/>
    <s v="Shaffer-Mason"/>
    <s v="Managed bandwidth-monitored system engine"/>
    <n v="1100"/>
    <n v="8010"/>
    <x v="1"/>
    <n v="148"/>
    <x v="1"/>
    <s v="USD"/>
    <n v="728.18181818181824"/>
    <n v="1305262800"/>
    <n v="54.121621621621621"/>
    <n v="1305954000"/>
    <b v="0"/>
    <b v="0"/>
    <s v="music/rock"/>
    <x v="1"/>
    <x v="1"/>
  </r>
  <r>
    <n v="765"/>
    <s v="Matthews LLC"/>
    <s v="Advanced transitional help-desk"/>
    <n v="3900"/>
    <n v="8125"/>
    <x v="1"/>
    <n v="198"/>
    <x v="1"/>
    <s v="USD"/>
    <n v="208.33333333333334"/>
    <n v="1492232400"/>
    <n v="41.035353535353536"/>
    <n v="1494392400"/>
    <b v="1"/>
    <b v="1"/>
    <s v="music/indie rock"/>
    <x v="1"/>
    <x v="7"/>
  </r>
  <r>
    <n v="766"/>
    <s v="Montgomery-Castro"/>
    <s v="De-engineered disintermediate encryption"/>
    <n v="43800"/>
    <n v="13653"/>
    <x v="0"/>
    <n v="248"/>
    <x v="2"/>
    <s v="AUD"/>
    <n v="31.171232876712331"/>
    <n v="1537333200"/>
    <n v="55.052419354838712"/>
    <n v="1537419600"/>
    <b v="0"/>
    <b v="0"/>
    <s v="film &amp; video/science fiction"/>
    <x v="4"/>
    <x v="22"/>
  </r>
  <r>
    <n v="767"/>
    <s v="Hale, Pearson and Jenkins"/>
    <s v="Upgradable attitude-oriented project"/>
    <n v="97200"/>
    <n v="55372"/>
    <x v="0"/>
    <n v="513"/>
    <x v="1"/>
    <s v="USD"/>
    <n v="56.967078189300416"/>
    <n v="1444107600"/>
    <n v="107.93762183235867"/>
    <n v="1447999200"/>
    <b v="0"/>
    <b v="0"/>
    <s v="publishing/translations"/>
    <x v="5"/>
    <x v="18"/>
  </r>
  <r>
    <n v="768"/>
    <s v="Ramirez-Calderon"/>
    <s v="Fundamental zero tolerance alliance"/>
    <n v="4800"/>
    <n v="11088"/>
    <x v="1"/>
    <n v="150"/>
    <x v="1"/>
    <s v="USD"/>
    <n v="231"/>
    <n v="1386741600"/>
    <n v="73.92"/>
    <n v="1388037600"/>
    <b v="0"/>
    <b v="0"/>
    <s v="theater/plays"/>
    <x v="3"/>
    <x v="3"/>
  </r>
  <r>
    <n v="769"/>
    <s v="Johnson-Morales"/>
    <s v="Devolved 24hour forecast"/>
    <n v="125600"/>
    <n v="109106"/>
    <x v="0"/>
    <n v="3410"/>
    <x v="1"/>
    <s v="USD"/>
    <n v="86.867834394904463"/>
    <n v="1376542800"/>
    <n v="31.995894428152493"/>
    <n v="1378789200"/>
    <b v="0"/>
    <b v="0"/>
    <s v="games/video games"/>
    <x v="6"/>
    <x v="11"/>
  </r>
  <r>
    <n v="770"/>
    <s v="Mathis-Rodriguez"/>
    <s v="User-centric attitude-oriented intranet"/>
    <n v="4300"/>
    <n v="11642"/>
    <x v="1"/>
    <n v="216"/>
    <x v="6"/>
    <s v="EUR"/>
    <n v="270.74418604651163"/>
    <n v="1397451600"/>
    <n v="53.898148148148145"/>
    <n v="1398056400"/>
    <b v="0"/>
    <b v="1"/>
    <s v="theater/plays"/>
    <x v="3"/>
    <x v="3"/>
  </r>
  <r>
    <n v="771"/>
    <s v="Smith, Mack and Williams"/>
    <s v="Self-enabling 5thgeneration paradigm"/>
    <n v="5600"/>
    <n v="2769"/>
    <x v="3"/>
    <n v="26"/>
    <x v="1"/>
    <s v="USD"/>
    <n v="49.446428571428569"/>
    <n v="1548482400"/>
    <n v="106.5"/>
    <n v="1550815200"/>
    <b v="0"/>
    <b v="0"/>
    <s v="theater/plays"/>
    <x v="3"/>
    <x v="3"/>
  </r>
  <r>
    <n v="772"/>
    <s v="Johnson-Pace"/>
    <s v="Persistent 3rdgeneration moratorium"/>
    <n v="149600"/>
    <n v="169586"/>
    <x v="1"/>
    <n v="5139"/>
    <x v="1"/>
    <s v="USD"/>
    <n v="113.3596256684492"/>
    <n v="1549692000"/>
    <n v="32.999805409612762"/>
    <n v="1550037600"/>
    <b v="0"/>
    <b v="0"/>
    <s v="music/indie rock"/>
    <x v="1"/>
    <x v="7"/>
  </r>
  <r>
    <n v="773"/>
    <s v="Meza, Kirby and Patel"/>
    <s v="Cross-platform empowering project"/>
    <n v="53100"/>
    <n v="101185"/>
    <x v="1"/>
    <n v="2353"/>
    <x v="1"/>
    <s v="USD"/>
    <n v="190.55555555555554"/>
    <n v="1492059600"/>
    <n v="43.00254993625159"/>
    <n v="1492923600"/>
    <b v="0"/>
    <b v="0"/>
    <s v="theater/plays"/>
    <x v="3"/>
    <x v="3"/>
  </r>
  <r>
    <n v="774"/>
    <s v="Gonzalez-Snow"/>
    <s v="Polarized user-facing interface"/>
    <n v="5000"/>
    <n v="6775"/>
    <x v="1"/>
    <n v="78"/>
    <x v="6"/>
    <s v="EUR"/>
    <n v="135.5"/>
    <n v="1463979600"/>
    <n v="86.858974358974365"/>
    <n v="1467522000"/>
    <b v="0"/>
    <b v="0"/>
    <s v="technology/web"/>
    <x v="2"/>
    <x v="2"/>
  </r>
  <r>
    <n v="775"/>
    <s v="Murphy LLC"/>
    <s v="Customer-focused non-volatile framework"/>
    <n v="9400"/>
    <n v="968"/>
    <x v="0"/>
    <n v="10"/>
    <x v="1"/>
    <s v="USD"/>
    <n v="10.297872340425531"/>
    <n v="1415253600"/>
    <n v="96.8"/>
    <n v="1416117600"/>
    <b v="0"/>
    <b v="0"/>
    <s v="music/rock"/>
    <x v="1"/>
    <x v="1"/>
  </r>
  <r>
    <n v="776"/>
    <s v="Taylor-Rowe"/>
    <s v="Synchronized multimedia frame"/>
    <n v="110800"/>
    <n v="72623"/>
    <x v="0"/>
    <n v="2201"/>
    <x v="1"/>
    <s v="USD"/>
    <n v="65.544223826714799"/>
    <n v="1562216400"/>
    <n v="32.995456610631528"/>
    <n v="1563771600"/>
    <b v="0"/>
    <b v="0"/>
    <s v="theater/plays"/>
    <x v="3"/>
    <x v="3"/>
  </r>
  <r>
    <n v="777"/>
    <s v="Henderson Ltd"/>
    <s v="Open-architected stable algorithm"/>
    <n v="93800"/>
    <n v="45987"/>
    <x v="0"/>
    <n v="676"/>
    <x v="1"/>
    <s v="USD"/>
    <n v="49.026652452025587"/>
    <n v="1316754000"/>
    <n v="68.028106508875737"/>
    <n v="1319259600"/>
    <b v="0"/>
    <b v="0"/>
    <s v="theater/plays"/>
    <x v="3"/>
    <x v="3"/>
  </r>
  <r>
    <n v="778"/>
    <s v="Moss-Guzman"/>
    <s v="Cross-platform optimizing website"/>
    <n v="1300"/>
    <n v="10243"/>
    <x v="1"/>
    <n v="174"/>
    <x v="5"/>
    <s v="CHF"/>
    <n v="787.92307692307691"/>
    <n v="1313211600"/>
    <n v="58.867816091954026"/>
    <n v="1313643600"/>
    <b v="0"/>
    <b v="0"/>
    <s v="film &amp; video/animation"/>
    <x v="4"/>
    <x v="10"/>
  </r>
  <r>
    <n v="779"/>
    <s v="Webb Group"/>
    <s v="Public-key actuating projection"/>
    <n v="108700"/>
    <n v="87293"/>
    <x v="0"/>
    <n v="831"/>
    <x v="1"/>
    <s v="USD"/>
    <n v="80.306347746090154"/>
    <n v="1439528400"/>
    <n v="105.04572803850782"/>
    <n v="1440306000"/>
    <b v="0"/>
    <b v="1"/>
    <s v="theater/plays"/>
    <x v="3"/>
    <x v="3"/>
  </r>
  <r>
    <n v="780"/>
    <s v="Brooks-Rodriguez"/>
    <s v="Implemented intangible instruction set"/>
    <n v="5100"/>
    <n v="5421"/>
    <x v="1"/>
    <n v="164"/>
    <x v="1"/>
    <s v="USD"/>
    <n v="106.29411764705883"/>
    <n v="1469163600"/>
    <n v="33.054878048780488"/>
    <n v="1470805200"/>
    <b v="0"/>
    <b v="1"/>
    <s v="film &amp; video/drama"/>
    <x v="4"/>
    <x v="6"/>
  </r>
  <r>
    <n v="781"/>
    <s v="Thomas Ltd"/>
    <s v="Cross-group interactive architecture"/>
    <n v="8700"/>
    <n v="4414"/>
    <x v="3"/>
    <n v="56"/>
    <x v="5"/>
    <s v="CHF"/>
    <n v="50.735632183908038"/>
    <n v="1288501200"/>
    <n v="78.821428571428569"/>
    <n v="1292911200"/>
    <b v="0"/>
    <b v="0"/>
    <s v="theater/plays"/>
    <x v="3"/>
    <x v="3"/>
  </r>
  <r>
    <n v="782"/>
    <s v="Williams and Sons"/>
    <s v="Centralized asymmetric framework"/>
    <n v="5100"/>
    <n v="10981"/>
    <x v="1"/>
    <n v="161"/>
    <x v="1"/>
    <s v="USD"/>
    <n v="215.31372549019611"/>
    <n v="1298959200"/>
    <n v="68.204968944099377"/>
    <n v="1301374800"/>
    <b v="0"/>
    <b v="1"/>
    <s v="film &amp; video/animation"/>
    <x v="4"/>
    <x v="10"/>
  </r>
  <r>
    <n v="783"/>
    <s v="Vega, Chan and Carney"/>
    <s v="Down-sized systematic utilization"/>
    <n v="7400"/>
    <n v="10451"/>
    <x v="1"/>
    <n v="138"/>
    <x v="1"/>
    <s v="USD"/>
    <n v="141.22972972972974"/>
    <n v="1387260000"/>
    <n v="75.731884057971016"/>
    <n v="1387864800"/>
    <b v="0"/>
    <b v="0"/>
    <s v="music/rock"/>
    <x v="1"/>
    <x v="1"/>
  </r>
  <r>
    <n v="784"/>
    <s v="Byrd Group"/>
    <s v="Profound fault-tolerant model"/>
    <n v="88900"/>
    <n v="102535"/>
    <x v="1"/>
    <n v="3308"/>
    <x v="1"/>
    <s v="USD"/>
    <n v="115.33745781777279"/>
    <n v="1457244000"/>
    <n v="30.996070133010882"/>
    <n v="1458190800"/>
    <b v="0"/>
    <b v="0"/>
    <s v="technology/web"/>
    <x v="2"/>
    <x v="2"/>
  </r>
  <r>
    <n v="785"/>
    <s v="Peterson, Fletcher and Sanchez"/>
    <s v="Multi-channeled bi-directional moratorium"/>
    <n v="6700"/>
    <n v="12939"/>
    <x v="1"/>
    <n v="127"/>
    <x v="2"/>
    <s v="AUD"/>
    <n v="193.11940298507463"/>
    <n v="1556341200"/>
    <n v="101.88188976377953"/>
    <n v="1559278800"/>
    <b v="0"/>
    <b v="1"/>
    <s v="film &amp; video/animation"/>
    <x v="4"/>
    <x v="10"/>
  </r>
  <r>
    <n v="786"/>
    <s v="Smith-Brown"/>
    <s v="Object-based content-based ability"/>
    <n v="1500"/>
    <n v="10946"/>
    <x v="1"/>
    <n v="207"/>
    <x v="6"/>
    <s v="EUR"/>
    <n v="729.73333333333335"/>
    <n v="1522126800"/>
    <n v="52.879227053140099"/>
    <n v="1522731600"/>
    <b v="0"/>
    <b v="1"/>
    <s v="music/jazz"/>
    <x v="1"/>
    <x v="17"/>
  </r>
  <r>
    <n v="787"/>
    <s v="Vance-Glover"/>
    <s v="Progressive coherent secured line"/>
    <n v="61200"/>
    <n v="60994"/>
    <x v="0"/>
    <n v="859"/>
    <x v="0"/>
    <s v="CAD"/>
    <n v="99.66339869281046"/>
    <n v="1305954000"/>
    <n v="71.005820721769496"/>
    <n v="1306731600"/>
    <b v="0"/>
    <b v="0"/>
    <s v="music/rock"/>
    <x v="1"/>
    <x v="1"/>
  </r>
  <r>
    <n v="788"/>
    <s v="Joyce PLC"/>
    <s v="Synchronized directional capability"/>
    <n v="3600"/>
    <n v="3174"/>
    <x v="2"/>
    <n v="31"/>
    <x v="1"/>
    <s v="USD"/>
    <n v="88.166666666666671"/>
    <n v="1350709200"/>
    <n v="102.38709677419355"/>
    <n v="1352527200"/>
    <b v="0"/>
    <b v="0"/>
    <s v="film &amp; video/animation"/>
    <x v="4"/>
    <x v="10"/>
  </r>
  <r>
    <n v="789"/>
    <s v="Kennedy-Miller"/>
    <s v="Cross-platform composite migration"/>
    <n v="9000"/>
    <n v="3351"/>
    <x v="0"/>
    <n v="45"/>
    <x v="1"/>
    <s v="USD"/>
    <n v="37.233333333333334"/>
    <n v="1401166800"/>
    <n v="74.466666666666669"/>
    <n v="1404363600"/>
    <b v="0"/>
    <b v="0"/>
    <s v="theater/plays"/>
    <x v="3"/>
    <x v="3"/>
  </r>
  <r>
    <n v="790"/>
    <s v="White-Obrien"/>
    <s v="Operative local pricing structure"/>
    <n v="185900"/>
    <n v="56774"/>
    <x v="3"/>
    <n v="1113"/>
    <x v="1"/>
    <s v="USD"/>
    <n v="30.540075309306079"/>
    <n v="1266127200"/>
    <n v="51.009883198562441"/>
    <n v="1266645600"/>
    <b v="0"/>
    <b v="0"/>
    <s v="theater/plays"/>
    <x v="3"/>
    <x v="3"/>
  </r>
  <r>
    <n v="791"/>
    <s v="Stafford, Hess and Raymond"/>
    <s v="Optional web-enabled extranet"/>
    <n v="2100"/>
    <n v="540"/>
    <x v="0"/>
    <n v="6"/>
    <x v="1"/>
    <s v="USD"/>
    <n v="25.714285714285712"/>
    <n v="1481436000"/>
    <n v="90"/>
    <n v="1482818400"/>
    <b v="0"/>
    <b v="0"/>
    <s v="food/food trucks"/>
    <x v="0"/>
    <x v="0"/>
  </r>
  <r>
    <n v="792"/>
    <s v="Jordan, Schneider and Hall"/>
    <s v="Reduced 6thgeneration intranet"/>
    <n v="2000"/>
    <n v="680"/>
    <x v="0"/>
    <n v="7"/>
    <x v="1"/>
    <s v="USD"/>
    <n v="34"/>
    <n v="1372222800"/>
    <n v="97.142857142857139"/>
    <n v="1374642000"/>
    <b v="0"/>
    <b v="1"/>
    <s v="theater/plays"/>
    <x v="3"/>
    <x v="3"/>
  </r>
  <r>
    <n v="793"/>
    <s v="Rodriguez, Cox and Rodriguez"/>
    <s v="Networked disintermediate leverage"/>
    <n v="1100"/>
    <n v="13045"/>
    <x v="1"/>
    <n v="181"/>
    <x v="5"/>
    <s v="CHF"/>
    <n v="1185.909090909091"/>
    <n v="1372136400"/>
    <n v="72.071823204419886"/>
    <n v="1372482000"/>
    <b v="0"/>
    <b v="0"/>
    <s v="publishing/nonfiction"/>
    <x v="5"/>
    <x v="9"/>
  </r>
  <r>
    <n v="794"/>
    <s v="Welch Inc"/>
    <s v="Optional optimal website"/>
    <n v="6600"/>
    <n v="8276"/>
    <x v="1"/>
    <n v="110"/>
    <x v="1"/>
    <s v="USD"/>
    <n v="125.39393939393939"/>
    <n v="1513922400"/>
    <n v="75.236363636363635"/>
    <n v="1514959200"/>
    <b v="0"/>
    <b v="0"/>
    <s v="music/rock"/>
    <x v="1"/>
    <x v="1"/>
  </r>
  <r>
    <n v="795"/>
    <s v="Vasquez Inc"/>
    <s v="Stand-alone asynchronous functionalities"/>
    <n v="7100"/>
    <n v="1022"/>
    <x v="0"/>
    <n v="31"/>
    <x v="1"/>
    <s v="USD"/>
    <n v="14.394366197183098"/>
    <n v="1477976400"/>
    <n v="32.967741935483872"/>
    <n v="1478235600"/>
    <b v="0"/>
    <b v="0"/>
    <s v="film &amp; video/drama"/>
    <x v="4"/>
    <x v="6"/>
  </r>
  <r>
    <n v="796"/>
    <s v="Freeman-Ferguson"/>
    <s v="Profound full-range open system"/>
    <n v="7800"/>
    <n v="4275"/>
    <x v="0"/>
    <n v="78"/>
    <x v="1"/>
    <s v="USD"/>
    <n v="54.807692307692314"/>
    <n v="1407474000"/>
    <n v="54.807692307692307"/>
    <n v="1408078800"/>
    <b v="0"/>
    <b v="1"/>
    <s v="games/mobile games"/>
    <x v="6"/>
    <x v="20"/>
  </r>
  <r>
    <n v="797"/>
    <s v="Houston, Moore and Rogers"/>
    <s v="Optional tangible utilization"/>
    <n v="7600"/>
    <n v="8332"/>
    <x v="1"/>
    <n v="185"/>
    <x v="1"/>
    <s v="USD"/>
    <n v="109.63157894736841"/>
    <n v="1546149600"/>
    <n v="45.037837837837834"/>
    <n v="1548136800"/>
    <b v="0"/>
    <b v="0"/>
    <s v="technology/web"/>
    <x v="2"/>
    <x v="2"/>
  </r>
  <r>
    <n v="798"/>
    <s v="Small-Fuentes"/>
    <s v="Seamless maximized product"/>
    <n v="3400"/>
    <n v="6408"/>
    <x v="1"/>
    <n v="121"/>
    <x v="1"/>
    <s v="USD"/>
    <n v="188.47058823529412"/>
    <n v="1338440400"/>
    <n v="52.958677685950413"/>
    <n v="1340859600"/>
    <b v="0"/>
    <b v="1"/>
    <s v="theater/plays"/>
    <x v="3"/>
    <x v="3"/>
  </r>
  <r>
    <n v="799"/>
    <s v="Reid-Day"/>
    <s v="Devolved tertiary time-frame"/>
    <n v="84500"/>
    <n v="73522"/>
    <x v="0"/>
    <n v="1225"/>
    <x v="4"/>
    <s v="GBP"/>
    <n v="87.008284023668637"/>
    <n v="1454133600"/>
    <n v="60.017959183673469"/>
    <n v="1454479200"/>
    <b v="0"/>
    <b v="0"/>
    <s v="theater/plays"/>
    <x v="3"/>
    <x v="3"/>
  </r>
  <r>
    <n v="800"/>
    <s v="Wallace LLC"/>
    <s v="Centralized regional function"/>
    <n v="100"/>
    <n v="1"/>
    <x v="0"/>
    <n v="1"/>
    <x v="5"/>
    <s v="CHF"/>
    <n v="1"/>
    <n v="1434085200"/>
    <n v="1"/>
    <n v="1434430800"/>
    <b v="0"/>
    <b v="0"/>
    <s v="music/rock"/>
    <x v="1"/>
    <x v="1"/>
  </r>
  <r>
    <n v="801"/>
    <s v="Olson-Bishop"/>
    <s v="User-friendly high-level initiative"/>
    <n v="2300"/>
    <n v="4667"/>
    <x v="1"/>
    <n v="106"/>
    <x v="1"/>
    <s v="USD"/>
    <n v="202.9130434782609"/>
    <n v="1577772000"/>
    <n v="44.028301886792455"/>
    <n v="15796728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x v="1"/>
    <n v="142"/>
    <x v="1"/>
    <s v="USD"/>
    <n v="197.03225806451613"/>
    <n v="1562216400"/>
    <n v="86.028169014084511"/>
    <n v="1562389200"/>
    <b v="0"/>
    <b v="0"/>
    <s v="photography/photography books"/>
    <x v="7"/>
    <x v="14"/>
  </r>
  <r>
    <n v="803"/>
    <s v="Perez, Brown and Meyers"/>
    <s v="Stand-alone background customer loyalty"/>
    <n v="6100"/>
    <n v="6527"/>
    <x v="1"/>
    <n v="233"/>
    <x v="1"/>
    <s v="USD"/>
    <n v="107"/>
    <n v="1548568800"/>
    <n v="28.012875536480685"/>
    <n v="1551506400"/>
    <b v="0"/>
    <b v="0"/>
    <s v="theater/plays"/>
    <x v="3"/>
    <x v="3"/>
  </r>
  <r>
    <n v="804"/>
    <s v="English-Mccullough"/>
    <s v="Business-focused discrete software"/>
    <n v="2600"/>
    <n v="6987"/>
    <x v="1"/>
    <n v="218"/>
    <x v="1"/>
    <s v="USD"/>
    <n v="268.73076923076923"/>
    <n v="1514872800"/>
    <n v="32.050458715596328"/>
    <n v="1516600800"/>
    <b v="0"/>
    <b v="0"/>
    <s v="music/rock"/>
    <x v="1"/>
    <x v="1"/>
  </r>
  <r>
    <n v="805"/>
    <s v="Smith-Nguyen"/>
    <s v="Advanced intermediate Graphic Interface"/>
    <n v="9700"/>
    <n v="4932"/>
    <x v="0"/>
    <n v="67"/>
    <x v="2"/>
    <s v="AUD"/>
    <n v="50.845360824742272"/>
    <n v="1416031200"/>
    <n v="73.611940298507463"/>
    <n v="1420437600"/>
    <b v="0"/>
    <b v="0"/>
    <s v="film &amp; video/documentary"/>
    <x v="4"/>
    <x v="4"/>
  </r>
  <r>
    <n v="806"/>
    <s v="Harmon-Madden"/>
    <s v="Adaptive holistic hub"/>
    <n v="700"/>
    <n v="8262"/>
    <x v="1"/>
    <n v="76"/>
    <x v="1"/>
    <s v="USD"/>
    <n v="1180.2857142857142"/>
    <n v="1330927200"/>
    <n v="108.71052631578948"/>
    <n v="1332997200"/>
    <b v="0"/>
    <b v="1"/>
    <s v="film &amp; video/drama"/>
    <x v="4"/>
    <x v="6"/>
  </r>
  <r>
    <n v="807"/>
    <s v="Walker-Taylor"/>
    <s v="Automated uniform concept"/>
    <n v="700"/>
    <n v="1848"/>
    <x v="1"/>
    <n v="43"/>
    <x v="1"/>
    <s v="USD"/>
    <n v="264"/>
    <n v="1571115600"/>
    <n v="42.97674418604651"/>
    <n v="1574920800"/>
    <b v="0"/>
    <b v="1"/>
    <s v="theater/plays"/>
    <x v="3"/>
    <x v="3"/>
  </r>
  <r>
    <n v="808"/>
    <s v="Harris, Medina and Mitchell"/>
    <s v="Enhanced regional flexibility"/>
    <n v="5200"/>
    <n v="1583"/>
    <x v="0"/>
    <n v="19"/>
    <x v="1"/>
    <s v="USD"/>
    <n v="30.44230769230769"/>
    <n v="1463461200"/>
    <n v="83.315789473684205"/>
    <n v="1464930000"/>
    <b v="0"/>
    <b v="0"/>
    <s v="food/food trucks"/>
    <x v="0"/>
    <x v="0"/>
  </r>
  <r>
    <n v="809"/>
    <s v="Williams and Sons"/>
    <s v="Public-key bottom-line algorithm"/>
    <n v="140800"/>
    <n v="88536"/>
    <x v="0"/>
    <n v="2108"/>
    <x v="5"/>
    <s v="CHF"/>
    <n v="62.880681818181813"/>
    <n v="1344920400"/>
    <n v="42"/>
    <n v="1345006800"/>
    <b v="0"/>
    <b v="0"/>
    <s v="film &amp; video/documentary"/>
    <x v="4"/>
    <x v="4"/>
  </r>
  <r>
    <n v="810"/>
    <s v="Ball-Fisher"/>
    <s v="Multi-layered intangible instruction set"/>
    <n v="6400"/>
    <n v="12360"/>
    <x v="1"/>
    <n v="221"/>
    <x v="1"/>
    <s v="USD"/>
    <n v="193.125"/>
    <n v="1511848800"/>
    <n v="55.927601809954751"/>
    <n v="1512712800"/>
    <b v="0"/>
    <b v="1"/>
    <s v="theater/plays"/>
    <x v="3"/>
    <x v="3"/>
  </r>
  <r>
    <n v="811"/>
    <s v="Page, Holt and Mack"/>
    <s v="Fundamental methodical emulation"/>
    <n v="92500"/>
    <n v="71320"/>
    <x v="0"/>
    <n v="679"/>
    <x v="1"/>
    <s v="USD"/>
    <n v="77.102702702702715"/>
    <n v="1452319200"/>
    <n v="105.03681885125184"/>
    <n v="1452492000"/>
    <b v="0"/>
    <b v="1"/>
    <s v="games/video games"/>
    <x v="6"/>
    <x v="11"/>
  </r>
  <r>
    <n v="812"/>
    <s v="Landry Group"/>
    <s v="Expanded value-added hardware"/>
    <n v="59700"/>
    <n v="134640"/>
    <x v="1"/>
    <n v="2805"/>
    <x v="0"/>
    <s v="CAD"/>
    <n v="225.52763819095478"/>
    <n v="1523854800"/>
    <n v="48"/>
    <n v="1524286800"/>
    <b v="0"/>
    <b v="0"/>
    <s v="publishing/nonfiction"/>
    <x v="5"/>
    <x v="9"/>
  </r>
  <r>
    <n v="813"/>
    <s v="Buckley Group"/>
    <s v="Diverse high-level attitude"/>
    <n v="3200"/>
    <n v="7661"/>
    <x v="1"/>
    <n v="68"/>
    <x v="1"/>
    <s v="USD"/>
    <n v="239.40625"/>
    <n v="1346043600"/>
    <n v="112.66176470588235"/>
    <n v="1346907600"/>
    <b v="0"/>
    <b v="0"/>
    <s v="games/video games"/>
    <x v="6"/>
    <x v="11"/>
  </r>
  <r>
    <n v="814"/>
    <s v="Vincent PLC"/>
    <s v="Visionary 24hour analyzer"/>
    <n v="3200"/>
    <n v="2950"/>
    <x v="0"/>
    <n v="36"/>
    <x v="3"/>
    <s v="DKK"/>
    <n v="92.1875"/>
    <n v="1464325200"/>
    <n v="81.944444444444443"/>
    <n v="1464498000"/>
    <b v="0"/>
    <b v="1"/>
    <s v="music/rock"/>
    <x v="1"/>
    <x v="1"/>
  </r>
  <r>
    <n v="815"/>
    <s v="Watson-Douglas"/>
    <s v="Centralized bandwidth-monitored leverage"/>
    <n v="9000"/>
    <n v="11721"/>
    <x v="1"/>
    <n v="183"/>
    <x v="0"/>
    <s v="CAD"/>
    <n v="130.23333333333335"/>
    <n v="1511935200"/>
    <n v="64.049180327868854"/>
    <n v="1514181600"/>
    <b v="0"/>
    <b v="0"/>
    <s v="music/rock"/>
    <x v="1"/>
    <x v="1"/>
  </r>
  <r>
    <n v="816"/>
    <s v="Jones, Casey and Jones"/>
    <s v="Ergonomic mission-critical moratorium"/>
    <n v="2300"/>
    <n v="14150"/>
    <x v="1"/>
    <n v="133"/>
    <x v="1"/>
    <s v="USD"/>
    <n v="615.21739130434787"/>
    <n v="1392012000"/>
    <n v="106.39097744360902"/>
    <n v="1392184800"/>
    <b v="1"/>
    <b v="1"/>
    <s v="theater/plays"/>
    <x v="3"/>
    <x v="3"/>
  </r>
  <r>
    <n v="817"/>
    <s v="Alvarez-Bauer"/>
    <s v="Front-line intermediate moderator"/>
    <n v="51300"/>
    <n v="189192"/>
    <x v="1"/>
    <n v="2489"/>
    <x v="6"/>
    <s v="EUR"/>
    <n v="368.79532163742692"/>
    <n v="1556946000"/>
    <n v="76.011249497790274"/>
    <n v="1559365200"/>
    <b v="0"/>
    <b v="1"/>
    <s v="publishing/nonfiction"/>
    <x v="5"/>
    <x v="9"/>
  </r>
  <r>
    <n v="818"/>
    <s v="Martinez LLC"/>
    <s v="Automated local secured line"/>
    <n v="700"/>
    <n v="7664"/>
    <x v="1"/>
    <n v="69"/>
    <x v="1"/>
    <s v="USD"/>
    <n v="1094.8571428571429"/>
    <n v="1548050400"/>
    <n v="111.07246376811594"/>
    <n v="1549173600"/>
    <b v="0"/>
    <b v="1"/>
    <s v="theater/plays"/>
    <x v="3"/>
    <x v="3"/>
  </r>
  <r>
    <n v="819"/>
    <s v="Buck-Khan"/>
    <s v="Integrated bandwidth-monitored alliance"/>
    <n v="8900"/>
    <n v="4509"/>
    <x v="0"/>
    <n v="47"/>
    <x v="1"/>
    <s v="USD"/>
    <n v="50.662921348314605"/>
    <n v="1353736800"/>
    <n v="95.936170212765958"/>
    <n v="1355032800"/>
    <b v="1"/>
    <b v="0"/>
    <s v="games/video games"/>
    <x v="6"/>
    <x v="11"/>
  </r>
  <r>
    <n v="820"/>
    <s v="Valdez, Williams and Meyer"/>
    <s v="Cross-group heuristic forecast"/>
    <n v="1500"/>
    <n v="12009"/>
    <x v="1"/>
    <n v="279"/>
    <x v="4"/>
    <s v="GBP"/>
    <n v="800.6"/>
    <n v="1532840400"/>
    <n v="43.043010752688176"/>
    <n v="1533963600"/>
    <b v="0"/>
    <b v="1"/>
    <s v="music/rock"/>
    <x v="1"/>
    <x v="1"/>
  </r>
  <r>
    <n v="821"/>
    <s v="Alvarez-Andrews"/>
    <s v="Extended impactful secured line"/>
    <n v="4900"/>
    <n v="14273"/>
    <x v="1"/>
    <n v="210"/>
    <x v="1"/>
    <s v="USD"/>
    <n v="291.28571428571428"/>
    <n v="1488261600"/>
    <n v="67.966666666666669"/>
    <n v="1489381200"/>
    <b v="0"/>
    <b v="0"/>
    <s v="film &amp; video/documentary"/>
    <x v="4"/>
    <x v="4"/>
  </r>
  <r>
    <n v="822"/>
    <s v="Stewart and Sons"/>
    <s v="Distributed optimizing protocol"/>
    <n v="54000"/>
    <n v="188982"/>
    <x v="1"/>
    <n v="2100"/>
    <x v="1"/>
    <s v="USD"/>
    <n v="349.9666666666667"/>
    <n v="1393567200"/>
    <n v="89.991428571428571"/>
    <n v="1395032400"/>
    <b v="0"/>
    <b v="0"/>
    <s v="music/rock"/>
    <x v="1"/>
    <x v="1"/>
  </r>
  <r>
    <n v="823"/>
    <s v="Dyer Inc"/>
    <s v="Secured well-modulated system engine"/>
    <n v="4100"/>
    <n v="14640"/>
    <x v="1"/>
    <n v="252"/>
    <x v="1"/>
    <s v="USD"/>
    <n v="357.07317073170731"/>
    <n v="1410325200"/>
    <n v="58.095238095238095"/>
    <n v="1412485200"/>
    <b v="1"/>
    <b v="1"/>
    <s v="music/rock"/>
    <x v="1"/>
    <x v="1"/>
  </r>
  <r>
    <n v="824"/>
    <s v="Anderson, Williams and Cox"/>
    <s v="Streamlined national benchmark"/>
    <n v="85000"/>
    <n v="107516"/>
    <x v="1"/>
    <n v="1280"/>
    <x v="1"/>
    <s v="USD"/>
    <n v="126.48941176470588"/>
    <n v="1276923600"/>
    <n v="83.996875000000003"/>
    <n v="1279688400"/>
    <b v="0"/>
    <b v="1"/>
    <s v="publishing/nonfiction"/>
    <x v="5"/>
    <x v="9"/>
  </r>
  <r>
    <n v="825"/>
    <s v="Solomon PLC"/>
    <s v="Open-architected 24/7 infrastructure"/>
    <n v="3600"/>
    <n v="13950"/>
    <x v="1"/>
    <n v="157"/>
    <x v="4"/>
    <s v="GBP"/>
    <n v="387.5"/>
    <n v="1500958800"/>
    <n v="88.853503184713375"/>
    <n v="1501995600"/>
    <b v="0"/>
    <b v="0"/>
    <s v="film &amp; video/shorts"/>
    <x v="4"/>
    <x v="12"/>
  </r>
  <r>
    <n v="826"/>
    <s v="Miller-Hubbard"/>
    <s v="Digitized 6thgeneration Local Area Network"/>
    <n v="2800"/>
    <n v="12797"/>
    <x v="1"/>
    <n v="194"/>
    <x v="1"/>
    <s v="USD"/>
    <n v="457.03571428571428"/>
    <n v="1292220000"/>
    <n v="65.963917525773198"/>
    <n v="1294639200"/>
    <b v="0"/>
    <b v="1"/>
    <s v="theater/plays"/>
    <x v="3"/>
    <x v="3"/>
  </r>
  <r>
    <n v="827"/>
    <s v="Miranda, Martinez and Lowery"/>
    <s v="Innovative actuating artificial intelligence"/>
    <n v="2300"/>
    <n v="6134"/>
    <x v="1"/>
    <n v="82"/>
    <x v="2"/>
    <s v="AUD"/>
    <n v="266.69565217391306"/>
    <n v="1304398800"/>
    <n v="74.804878048780495"/>
    <n v="1305435600"/>
    <b v="0"/>
    <b v="1"/>
    <s v="film &amp; video/drama"/>
    <x v="4"/>
    <x v="6"/>
  </r>
  <r>
    <n v="828"/>
    <s v="Munoz, Cherry and Bell"/>
    <s v="Cross-platform reciprocal budgetary management"/>
    <n v="7100"/>
    <n v="4899"/>
    <x v="0"/>
    <n v="70"/>
    <x v="1"/>
    <s v="USD"/>
    <n v="69"/>
    <n v="1535432400"/>
    <n v="69.98571428571428"/>
    <n v="1537592400"/>
    <b v="0"/>
    <b v="0"/>
    <s v="theater/plays"/>
    <x v="3"/>
    <x v="3"/>
  </r>
  <r>
    <n v="829"/>
    <s v="Baker-Higgins"/>
    <s v="Vision-oriented scalable portal"/>
    <n v="9600"/>
    <n v="4929"/>
    <x v="0"/>
    <n v="154"/>
    <x v="1"/>
    <s v="USD"/>
    <n v="51.34375"/>
    <n v="1433826000"/>
    <n v="32.006493506493506"/>
    <n v="1435122000"/>
    <b v="0"/>
    <b v="0"/>
    <s v="theater/plays"/>
    <x v="3"/>
    <x v="3"/>
  </r>
  <r>
    <n v="830"/>
    <s v="Johnson, Turner and Carroll"/>
    <s v="Persevering zero administration knowledge user"/>
    <n v="121600"/>
    <n v="1424"/>
    <x v="0"/>
    <n v="22"/>
    <x v="1"/>
    <s v="USD"/>
    <n v="1.1710526315789473"/>
    <n v="1514959200"/>
    <n v="64.727272727272734"/>
    <n v="1520056800"/>
    <b v="0"/>
    <b v="0"/>
    <s v="theater/plays"/>
    <x v="3"/>
    <x v="3"/>
  </r>
  <r>
    <n v="831"/>
    <s v="Ward PLC"/>
    <s v="Front-line bottom-line Graphic Interface"/>
    <n v="97100"/>
    <n v="105817"/>
    <x v="1"/>
    <n v="4233"/>
    <x v="1"/>
    <s v="USD"/>
    <n v="108.97734294541709"/>
    <n v="1332738000"/>
    <n v="24.998110087408456"/>
    <n v="1335675600"/>
    <b v="0"/>
    <b v="0"/>
    <s v="photography/photography books"/>
    <x v="7"/>
    <x v="14"/>
  </r>
  <r>
    <n v="832"/>
    <s v="Bradley, Beck and Mayo"/>
    <s v="Synergized fault-tolerant hierarchy"/>
    <n v="43200"/>
    <n v="136156"/>
    <x v="1"/>
    <n v="1297"/>
    <x v="3"/>
    <s v="DKK"/>
    <n v="315.17592592592592"/>
    <n v="1445490000"/>
    <n v="104.97764070932922"/>
    <n v="1448431200"/>
    <b v="1"/>
    <b v="0"/>
    <s v="publishing/translations"/>
    <x v="5"/>
    <x v="18"/>
  </r>
  <r>
    <n v="833"/>
    <s v="Levine, Martin and Hernandez"/>
    <s v="Expanded asynchronous groupware"/>
    <n v="6800"/>
    <n v="10723"/>
    <x v="1"/>
    <n v="165"/>
    <x v="3"/>
    <s v="DKK"/>
    <n v="157.69117647058823"/>
    <n v="1297663200"/>
    <n v="64.987878787878785"/>
    <n v="1298613600"/>
    <b v="0"/>
    <b v="0"/>
    <s v="publishing/translations"/>
    <x v="5"/>
    <x v="18"/>
  </r>
  <r>
    <n v="834"/>
    <s v="Gallegos, Wagner and Gaines"/>
    <s v="Expanded fault-tolerant emulation"/>
    <n v="7300"/>
    <n v="11228"/>
    <x v="1"/>
    <n v="119"/>
    <x v="1"/>
    <s v="USD"/>
    <n v="153.8082191780822"/>
    <n v="1371963600"/>
    <n v="94.352941176470594"/>
    <n v="1372482000"/>
    <b v="0"/>
    <b v="0"/>
    <s v="theater/plays"/>
    <x v="3"/>
    <x v="3"/>
  </r>
  <r>
    <n v="835"/>
    <s v="Hodges, Smith and Kelly"/>
    <s v="Future-proofed 24hour model"/>
    <n v="86200"/>
    <n v="77355"/>
    <x v="0"/>
    <n v="1758"/>
    <x v="1"/>
    <s v="USD"/>
    <n v="89.738979118329468"/>
    <n v="1425103200"/>
    <n v="44.001706484641637"/>
    <n v="1425621600"/>
    <b v="0"/>
    <b v="0"/>
    <s v="technology/web"/>
    <x v="2"/>
    <x v="2"/>
  </r>
  <r>
    <n v="836"/>
    <s v="Macias Inc"/>
    <s v="Optimized didactic intranet"/>
    <n v="8100"/>
    <n v="6086"/>
    <x v="0"/>
    <n v="94"/>
    <x v="1"/>
    <s v="USD"/>
    <n v="75.135802469135797"/>
    <n v="1265349600"/>
    <n v="64.744680851063833"/>
    <n v="1266300000"/>
    <b v="0"/>
    <b v="0"/>
    <s v="music/indie rock"/>
    <x v="1"/>
    <x v="7"/>
  </r>
  <r>
    <n v="837"/>
    <s v="Cook-Ortiz"/>
    <s v="Right-sized dedicated standardization"/>
    <n v="17700"/>
    <n v="150960"/>
    <x v="1"/>
    <n v="1797"/>
    <x v="1"/>
    <s v="USD"/>
    <n v="852.88135593220341"/>
    <n v="1301202000"/>
    <n v="84.00667779632721"/>
    <n v="1305867600"/>
    <b v="0"/>
    <b v="0"/>
    <s v="music/jazz"/>
    <x v="1"/>
    <x v="17"/>
  </r>
  <r>
    <n v="838"/>
    <s v="Jordan-Fischer"/>
    <s v="Vision-oriented high-level extranet"/>
    <n v="6400"/>
    <n v="8890"/>
    <x v="1"/>
    <n v="261"/>
    <x v="1"/>
    <s v="USD"/>
    <n v="138.90625"/>
    <n v="1538024400"/>
    <n v="34.061302681992338"/>
    <n v="1538802000"/>
    <b v="0"/>
    <b v="0"/>
    <s v="theater/plays"/>
    <x v="3"/>
    <x v="3"/>
  </r>
  <r>
    <n v="839"/>
    <s v="Pierce-Ramirez"/>
    <s v="Organized scalable initiative"/>
    <n v="7700"/>
    <n v="14644"/>
    <x v="1"/>
    <n v="157"/>
    <x v="1"/>
    <s v="USD"/>
    <n v="190.18181818181819"/>
    <n v="1395032400"/>
    <n v="93.273885350318466"/>
    <n v="1398920400"/>
    <b v="0"/>
    <b v="1"/>
    <s v="film &amp; video/documentary"/>
    <x v="4"/>
    <x v="4"/>
  </r>
  <r>
    <n v="840"/>
    <s v="Howell and Sons"/>
    <s v="Enhanced regional moderator"/>
    <n v="116300"/>
    <n v="116583"/>
    <x v="1"/>
    <n v="3533"/>
    <x v="1"/>
    <s v="USD"/>
    <n v="100.24333619948409"/>
    <n v="1405486800"/>
    <n v="32.998301726577978"/>
    <n v="1405659600"/>
    <b v="0"/>
    <b v="1"/>
    <s v="theater/plays"/>
    <x v="3"/>
    <x v="3"/>
  </r>
  <r>
    <n v="841"/>
    <s v="Garcia, Dunn and Richardson"/>
    <s v="Automated even-keeled emulation"/>
    <n v="9100"/>
    <n v="12991"/>
    <x v="1"/>
    <n v="155"/>
    <x v="1"/>
    <s v="USD"/>
    <n v="142.75824175824175"/>
    <n v="1455861600"/>
    <n v="83.812903225806451"/>
    <n v="1457244000"/>
    <b v="0"/>
    <b v="0"/>
    <s v="technology/web"/>
    <x v="2"/>
    <x v="2"/>
  </r>
  <r>
    <n v="842"/>
    <s v="Lawson and Sons"/>
    <s v="Reverse-engineered multi-tasking product"/>
    <n v="1500"/>
    <n v="8447"/>
    <x v="1"/>
    <n v="132"/>
    <x v="6"/>
    <s v="EUR"/>
    <n v="563.13333333333333"/>
    <n v="1529038800"/>
    <n v="63.992424242424242"/>
    <n v="1529298000"/>
    <b v="0"/>
    <b v="0"/>
    <s v="technology/wearables"/>
    <x v="2"/>
    <x v="8"/>
  </r>
  <r>
    <n v="843"/>
    <s v="Porter-Hicks"/>
    <s v="De-engineered next generation parallelism"/>
    <n v="8800"/>
    <n v="2703"/>
    <x v="0"/>
    <n v="33"/>
    <x v="1"/>
    <s v="USD"/>
    <n v="30.715909090909086"/>
    <n v="1535259600"/>
    <n v="81.909090909090907"/>
    <n v="1535778000"/>
    <b v="0"/>
    <b v="0"/>
    <s v="photography/photography books"/>
    <x v="7"/>
    <x v="14"/>
  </r>
  <r>
    <n v="844"/>
    <s v="Rodriguez-Hansen"/>
    <s v="Intuitive cohesive groupware"/>
    <n v="8800"/>
    <n v="8747"/>
    <x v="3"/>
    <n v="94"/>
    <x v="1"/>
    <s v="USD"/>
    <n v="99.39772727272728"/>
    <n v="1327212000"/>
    <n v="93.053191489361708"/>
    <n v="1327471200"/>
    <b v="0"/>
    <b v="0"/>
    <s v="film &amp; video/documentary"/>
    <x v="4"/>
    <x v="4"/>
  </r>
  <r>
    <n v="845"/>
    <s v="Williams LLC"/>
    <s v="Up-sized high-level access"/>
    <n v="69900"/>
    <n v="138087"/>
    <x v="1"/>
    <n v="1354"/>
    <x v="4"/>
    <s v="GBP"/>
    <n v="197.54935622317598"/>
    <n v="1526360400"/>
    <n v="101.98449039881831"/>
    <n v="1529557200"/>
    <b v="0"/>
    <b v="0"/>
    <s v="technology/web"/>
    <x v="2"/>
    <x v="2"/>
  </r>
  <r>
    <n v="846"/>
    <s v="Cooper, Stanley and Bryant"/>
    <s v="Phased empowering success"/>
    <n v="1000"/>
    <n v="5085"/>
    <x v="1"/>
    <n v="48"/>
    <x v="1"/>
    <s v="USD"/>
    <n v="508.5"/>
    <n v="1532149200"/>
    <n v="105.9375"/>
    <n v="1535259600"/>
    <b v="1"/>
    <b v="1"/>
    <s v="technology/web"/>
    <x v="2"/>
    <x v="2"/>
  </r>
  <r>
    <n v="847"/>
    <s v="Miller, Glenn and Adams"/>
    <s v="Distributed actuating project"/>
    <n v="4700"/>
    <n v="11174"/>
    <x v="1"/>
    <n v="110"/>
    <x v="1"/>
    <s v="USD"/>
    <n v="237.74468085106383"/>
    <n v="1515304800"/>
    <n v="101.58181818181818"/>
    <n v="1515564000"/>
    <b v="0"/>
    <b v="0"/>
    <s v="food/food trucks"/>
    <x v="0"/>
    <x v="0"/>
  </r>
  <r>
    <n v="848"/>
    <s v="Cole, Salazar and Moreno"/>
    <s v="Robust motivating orchestration"/>
    <n v="3200"/>
    <n v="10831"/>
    <x v="1"/>
    <n v="172"/>
    <x v="1"/>
    <s v="USD"/>
    <n v="338.46875"/>
    <n v="1276318800"/>
    <n v="62.970930232558139"/>
    <n v="1277096400"/>
    <b v="0"/>
    <b v="0"/>
    <s v="film &amp; video/drama"/>
    <x v="4"/>
    <x v="6"/>
  </r>
  <r>
    <n v="849"/>
    <s v="Jones-Ryan"/>
    <s v="Vision-oriented uniform instruction set"/>
    <n v="6700"/>
    <n v="8917"/>
    <x v="1"/>
    <n v="307"/>
    <x v="1"/>
    <s v="USD"/>
    <n v="133.08955223880596"/>
    <n v="1328767200"/>
    <n v="29.045602605863191"/>
    <n v="1329026400"/>
    <b v="0"/>
    <b v="1"/>
    <s v="music/indie rock"/>
    <x v="1"/>
    <x v="7"/>
  </r>
  <r>
    <n v="850"/>
    <s v="Hood, Perez and Meadows"/>
    <s v="Cross-group upward-trending hierarchy"/>
    <n v="100"/>
    <n v="1"/>
    <x v="0"/>
    <n v="1"/>
    <x v="1"/>
    <s v="USD"/>
    <n v="1"/>
    <n v="1321682400"/>
    <n v="1"/>
    <n v="1322978400"/>
    <b v="1"/>
    <b v="0"/>
    <s v="music/rock"/>
    <x v="1"/>
    <x v="1"/>
  </r>
  <r>
    <n v="851"/>
    <s v="Bright and Sons"/>
    <s v="Object-based needs-based info-mediaries"/>
    <n v="6000"/>
    <n v="12468"/>
    <x v="1"/>
    <n v="160"/>
    <x v="1"/>
    <s v="USD"/>
    <n v="207.79999999999998"/>
    <n v="1335934800"/>
    <n v="77.924999999999997"/>
    <n v="1338786000"/>
    <b v="0"/>
    <b v="0"/>
    <s v="music/electric music"/>
    <x v="1"/>
    <x v="5"/>
  </r>
  <r>
    <n v="852"/>
    <s v="Brady Ltd"/>
    <s v="Open-source reciprocal standardization"/>
    <n v="4900"/>
    <n v="2505"/>
    <x v="0"/>
    <n v="31"/>
    <x v="1"/>
    <s v="USD"/>
    <n v="51.122448979591837"/>
    <n v="1310792400"/>
    <n v="80.806451612903231"/>
    <n v="1311656400"/>
    <b v="0"/>
    <b v="1"/>
    <s v="games/video games"/>
    <x v="6"/>
    <x v="11"/>
  </r>
  <r>
    <n v="853"/>
    <s v="Collier LLC"/>
    <s v="Secured well-modulated projection"/>
    <n v="17100"/>
    <n v="111502"/>
    <x v="1"/>
    <n v="1467"/>
    <x v="0"/>
    <s v="CAD"/>
    <n v="652.05847953216369"/>
    <n v="1308546000"/>
    <n v="76.006816632583508"/>
    <n v="1308978000"/>
    <b v="0"/>
    <b v="1"/>
    <s v="music/indie rock"/>
    <x v="1"/>
    <x v="7"/>
  </r>
  <r>
    <n v="854"/>
    <s v="Campbell, Thomas and Obrien"/>
    <s v="Multi-channeled secondary middleware"/>
    <n v="171000"/>
    <n v="194309"/>
    <x v="1"/>
    <n v="2662"/>
    <x v="0"/>
    <s v="CAD"/>
    <n v="113.63099415204678"/>
    <n v="1574056800"/>
    <n v="72.993613824192337"/>
    <n v="1576389600"/>
    <b v="0"/>
    <b v="0"/>
    <s v="publishing/fiction"/>
    <x v="5"/>
    <x v="13"/>
  </r>
  <r>
    <n v="855"/>
    <s v="Moses-Terry"/>
    <s v="Horizontal clear-thinking framework"/>
    <n v="23400"/>
    <n v="23956"/>
    <x v="1"/>
    <n v="452"/>
    <x v="2"/>
    <s v="AUD"/>
    <n v="102.37606837606839"/>
    <n v="1308373200"/>
    <n v="53"/>
    <n v="1311051600"/>
    <b v="0"/>
    <b v="0"/>
    <s v="theater/plays"/>
    <x v="3"/>
    <x v="3"/>
  </r>
  <r>
    <n v="856"/>
    <s v="Williams and Sons"/>
    <s v="Profound composite core"/>
    <n v="2400"/>
    <n v="8558"/>
    <x v="1"/>
    <n v="158"/>
    <x v="1"/>
    <s v="USD"/>
    <n v="356.58333333333331"/>
    <n v="1335243600"/>
    <n v="54.164556962025316"/>
    <n v="1336712400"/>
    <b v="0"/>
    <b v="0"/>
    <s v="food/food trucks"/>
    <x v="0"/>
    <x v="0"/>
  </r>
  <r>
    <n v="857"/>
    <s v="Miranda, Gray and Hale"/>
    <s v="Programmable disintermediate matrices"/>
    <n v="5300"/>
    <n v="7413"/>
    <x v="1"/>
    <n v="225"/>
    <x v="5"/>
    <s v="CHF"/>
    <n v="139.86792452830187"/>
    <n v="1328421600"/>
    <n v="32.946666666666665"/>
    <n v="1330408800"/>
    <b v="1"/>
    <b v="0"/>
    <s v="film &amp; video/shorts"/>
    <x v="4"/>
    <x v="12"/>
  </r>
  <r>
    <n v="858"/>
    <s v="Ayala, Crawford and Taylor"/>
    <s v="Realigned 5thgeneration knowledge user"/>
    <n v="4000"/>
    <n v="2778"/>
    <x v="0"/>
    <n v="35"/>
    <x v="1"/>
    <s v="USD"/>
    <n v="69.45"/>
    <n v="1524286800"/>
    <n v="79.371428571428567"/>
    <n v="1524891600"/>
    <b v="1"/>
    <b v="0"/>
    <s v="food/food trucks"/>
    <x v="0"/>
    <x v="0"/>
  </r>
  <r>
    <n v="859"/>
    <s v="Martinez Ltd"/>
    <s v="Multi-layered upward-trending groupware"/>
    <n v="7300"/>
    <n v="2594"/>
    <x v="0"/>
    <n v="63"/>
    <x v="1"/>
    <s v="USD"/>
    <n v="35.534246575342465"/>
    <n v="1362117600"/>
    <n v="41.174603174603178"/>
    <n v="1363669200"/>
    <b v="0"/>
    <b v="1"/>
    <s v="theater/plays"/>
    <x v="3"/>
    <x v="3"/>
  </r>
  <r>
    <n v="860"/>
    <s v="Lee PLC"/>
    <s v="Re-contextualized leadingedge firmware"/>
    <n v="2000"/>
    <n v="5033"/>
    <x v="1"/>
    <n v="65"/>
    <x v="1"/>
    <s v="USD"/>
    <n v="251.65"/>
    <n v="1550556000"/>
    <n v="77.430769230769229"/>
    <n v="1551420000"/>
    <b v="0"/>
    <b v="1"/>
    <s v="technology/wearables"/>
    <x v="2"/>
    <x v="8"/>
  </r>
  <r>
    <n v="861"/>
    <s v="Young, Ramsey and Powell"/>
    <s v="Devolved disintermediate analyzer"/>
    <n v="8800"/>
    <n v="9317"/>
    <x v="1"/>
    <n v="163"/>
    <x v="1"/>
    <s v="USD"/>
    <n v="105.87500000000001"/>
    <n v="1269147600"/>
    <n v="57.159509202453989"/>
    <n v="1269838800"/>
    <b v="0"/>
    <b v="0"/>
    <s v="theater/plays"/>
    <x v="3"/>
    <x v="3"/>
  </r>
  <r>
    <n v="862"/>
    <s v="Lewis and Sons"/>
    <s v="Profound disintermediate open system"/>
    <n v="3500"/>
    <n v="6560"/>
    <x v="1"/>
    <n v="85"/>
    <x v="1"/>
    <s v="USD"/>
    <n v="187.42857142857144"/>
    <n v="1312174800"/>
    <n v="77.17647058823529"/>
    <n v="1312520400"/>
    <b v="0"/>
    <b v="0"/>
    <s v="theater/plays"/>
    <x v="3"/>
    <x v="3"/>
  </r>
  <r>
    <n v="863"/>
    <s v="Davis-Johnson"/>
    <s v="Automated reciprocal protocol"/>
    <n v="1400"/>
    <n v="5415"/>
    <x v="1"/>
    <n v="217"/>
    <x v="1"/>
    <s v="USD"/>
    <n v="386.78571428571428"/>
    <n v="1434517200"/>
    <n v="24.953917050691246"/>
    <n v="1436504400"/>
    <b v="0"/>
    <b v="1"/>
    <s v="film &amp; video/television"/>
    <x v="4"/>
    <x v="19"/>
  </r>
  <r>
    <n v="864"/>
    <s v="Stevenson-Thompson"/>
    <s v="Automated static workforce"/>
    <n v="4200"/>
    <n v="14577"/>
    <x v="1"/>
    <n v="150"/>
    <x v="1"/>
    <s v="USD"/>
    <n v="347.07142857142856"/>
    <n v="1471582800"/>
    <n v="97.18"/>
    <n v="1472014800"/>
    <b v="0"/>
    <b v="0"/>
    <s v="film &amp; video/shorts"/>
    <x v="4"/>
    <x v="12"/>
  </r>
  <r>
    <n v="865"/>
    <s v="Ellis, Smith and Armstrong"/>
    <s v="Horizontal attitude-oriented help-desk"/>
    <n v="81000"/>
    <n v="150515"/>
    <x v="1"/>
    <n v="3272"/>
    <x v="1"/>
    <s v="USD"/>
    <n v="185.82098765432099"/>
    <n v="1410757200"/>
    <n v="46.000916870415651"/>
    <n v="1411534800"/>
    <b v="0"/>
    <b v="0"/>
    <s v="theater/plays"/>
    <x v="3"/>
    <x v="3"/>
  </r>
  <r>
    <n v="866"/>
    <s v="Jackson-Brown"/>
    <s v="Versatile 5thgeneration matrices"/>
    <n v="182800"/>
    <n v="79045"/>
    <x v="3"/>
    <n v="898"/>
    <x v="1"/>
    <s v="USD"/>
    <n v="43.241247264770237"/>
    <n v="1304830800"/>
    <n v="88.023385300668153"/>
    <n v="1304917200"/>
    <b v="0"/>
    <b v="0"/>
    <s v="photography/photography books"/>
    <x v="7"/>
    <x v="14"/>
  </r>
  <r>
    <n v="867"/>
    <s v="Kane, Pruitt and Rivera"/>
    <s v="Cross-platform next generation service-desk"/>
    <n v="4800"/>
    <n v="7797"/>
    <x v="1"/>
    <n v="300"/>
    <x v="1"/>
    <s v="USD"/>
    <n v="162.4375"/>
    <n v="1539061200"/>
    <n v="25.99"/>
    <n v="1539579600"/>
    <b v="0"/>
    <b v="0"/>
    <s v="food/food trucks"/>
    <x v="0"/>
    <x v="0"/>
  </r>
  <r>
    <n v="868"/>
    <s v="Wood, Buckley and Meza"/>
    <s v="Front-line web-enabled installation"/>
    <n v="7000"/>
    <n v="12939"/>
    <x v="1"/>
    <n v="126"/>
    <x v="1"/>
    <s v="USD"/>
    <n v="184.84285714285716"/>
    <n v="1381554000"/>
    <n v="102.69047619047619"/>
    <n v="1382504400"/>
    <b v="0"/>
    <b v="0"/>
    <s v="theater/plays"/>
    <x v="3"/>
    <x v="3"/>
  </r>
  <r>
    <n v="869"/>
    <s v="Brown-Williams"/>
    <s v="Multi-channeled responsive product"/>
    <n v="161900"/>
    <n v="38376"/>
    <x v="0"/>
    <n v="526"/>
    <x v="1"/>
    <s v="USD"/>
    <n v="23.703520691785052"/>
    <n v="1277096400"/>
    <n v="72.958174904942965"/>
    <n v="1278306000"/>
    <b v="0"/>
    <b v="0"/>
    <s v="film &amp; video/drama"/>
    <x v="4"/>
    <x v="6"/>
  </r>
  <r>
    <n v="870"/>
    <s v="Hansen-Austin"/>
    <s v="Adaptive demand-driven encryption"/>
    <n v="7700"/>
    <n v="6920"/>
    <x v="0"/>
    <n v="121"/>
    <x v="1"/>
    <s v="USD"/>
    <n v="89.870129870129873"/>
    <n v="1440392400"/>
    <n v="57.190082644628099"/>
    <n v="1442552400"/>
    <b v="0"/>
    <b v="0"/>
    <s v="theater/plays"/>
    <x v="3"/>
    <x v="3"/>
  </r>
  <r>
    <n v="871"/>
    <s v="Santana-George"/>
    <s v="Re-engineered client-driven knowledge user"/>
    <n v="71500"/>
    <n v="194912"/>
    <x v="1"/>
    <n v="2320"/>
    <x v="1"/>
    <s v="USD"/>
    <n v="272.6041958041958"/>
    <n v="1509512400"/>
    <n v="84.013793103448279"/>
    <n v="1511071200"/>
    <b v="0"/>
    <b v="1"/>
    <s v="theater/plays"/>
    <x v="3"/>
    <x v="3"/>
  </r>
  <r>
    <n v="872"/>
    <s v="Davis LLC"/>
    <s v="Compatible logistical paradigm"/>
    <n v="4700"/>
    <n v="7992"/>
    <x v="1"/>
    <n v="81"/>
    <x v="2"/>
    <s v="AUD"/>
    <n v="170.04255319148936"/>
    <n v="1535950800"/>
    <n v="98.666666666666671"/>
    <n v="1536382800"/>
    <b v="0"/>
    <b v="0"/>
    <s v="film &amp; video/science fiction"/>
    <x v="4"/>
    <x v="22"/>
  </r>
  <r>
    <n v="873"/>
    <s v="Vazquez, Ochoa and Clark"/>
    <s v="Intuitive value-added installation"/>
    <n v="42100"/>
    <n v="79268"/>
    <x v="1"/>
    <n v="1887"/>
    <x v="1"/>
    <s v="USD"/>
    <n v="188.28503562945369"/>
    <n v="1389160800"/>
    <n v="42.007419183889773"/>
    <n v="1389592800"/>
    <b v="0"/>
    <b v="0"/>
    <s v="photography/photography books"/>
    <x v="7"/>
    <x v="14"/>
  </r>
  <r>
    <n v="874"/>
    <s v="Chung-Nguyen"/>
    <s v="Managed discrete parallelism"/>
    <n v="40200"/>
    <n v="139468"/>
    <x v="1"/>
    <n v="4358"/>
    <x v="1"/>
    <s v="USD"/>
    <n v="346.93532338308455"/>
    <n v="1271998800"/>
    <n v="32.002753556677376"/>
    <n v="1275282000"/>
    <b v="0"/>
    <b v="1"/>
    <s v="photography/photography books"/>
    <x v="7"/>
    <x v="14"/>
  </r>
  <r>
    <n v="875"/>
    <s v="Mueller-Harmon"/>
    <s v="Implemented tangible approach"/>
    <n v="7900"/>
    <n v="5465"/>
    <x v="0"/>
    <n v="67"/>
    <x v="1"/>
    <s v="USD"/>
    <n v="69.177215189873422"/>
    <n v="1294898400"/>
    <n v="81.567164179104481"/>
    <n v="1294984800"/>
    <b v="0"/>
    <b v="0"/>
    <s v="music/rock"/>
    <x v="1"/>
    <x v="1"/>
  </r>
  <r>
    <n v="876"/>
    <s v="Dixon, Perez and Banks"/>
    <s v="Re-engineered encompassing definition"/>
    <n v="8300"/>
    <n v="2111"/>
    <x v="0"/>
    <n v="57"/>
    <x v="0"/>
    <s v="CAD"/>
    <n v="25.433734939759034"/>
    <n v="1559970000"/>
    <n v="37.035087719298247"/>
    <n v="1562043600"/>
    <b v="0"/>
    <b v="0"/>
    <s v="photography/photography books"/>
    <x v="7"/>
    <x v="14"/>
  </r>
  <r>
    <n v="877"/>
    <s v="Estrada Group"/>
    <s v="Multi-lateral uniform collaboration"/>
    <n v="163600"/>
    <n v="126628"/>
    <x v="0"/>
    <n v="1229"/>
    <x v="1"/>
    <s v="USD"/>
    <n v="77.400977995110026"/>
    <n v="1469509200"/>
    <n v="103.033360455655"/>
    <n v="1469595600"/>
    <b v="0"/>
    <b v="0"/>
    <s v="food/food trucks"/>
    <x v="0"/>
    <x v="0"/>
  </r>
  <r>
    <n v="878"/>
    <s v="Lutz Group"/>
    <s v="Enterprise-wide foreground paradigm"/>
    <n v="2700"/>
    <n v="1012"/>
    <x v="0"/>
    <n v="12"/>
    <x v="6"/>
    <s v="EUR"/>
    <n v="37.481481481481481"/>
    <n v="1579068000"/>
    <n v="84.333333333333329"/>
    <n v="1581141600"/>
    <b v="0"/>
    <b v="0"/>
    <s v="music/metal"/>
    <x v="1"/>
    <x v="16"/>
  </r>
  <r>
    <n v="879"/>
    <s v="Ortiz Inc"/>
    <s v="Stand-alone incremental parallelism"/>
    <n v="1000"/>
    <n v="5438"/>
    <x v="1"/>
    <n v="53"/>
    <x v="1"/>
    <s v="USD"/>
    <n v="543.79999999999995"/>
    <n v="1487743200"/>
    <n v="102.60377358490567"/>
    <n v="1488520800"/>
    <b v="0"/>
    <b v="0"/>
    <s v="publishing/nonfiction"/>
    <x v="5"/>
    <x v="9"/>
  </r>
  <r>
    <n v="880"/>
    <s v="Craig, Ellis and Miller"/>
    <s v="Persevering 5thgeneration throughput"/>
    <n v="84500"/>
    <n v="193101"/>
    <x v="1"/>
    <n v="2414"/>
    <x v="1"/>
    <s v="USD"/>
    <n v="228.52189349112427"/>
    <n v="1563685200"/>
    <n v="79.992129246064621"/>
    <n v="1563858000"/>
    <b v="0"/>
    <b v="0"/>
    <s v="music/electric music"/>
    <x v="1"/>
    <x v="5"/>
  </r>
  <r>
    <n v="881"/>
    <s v="Charles Inc"/>
    <s v="Implemented object-oriented synergy"/>
    <n v="81300"/>
    <n v="31665"/>
    <x v="0"/>
    <n v="452"/>
    <x v="1"/>
    <s v="USD"/>
    <n v="38.948339483394832"/>
    <n v="1436418000"/>
    <n v="70.055309734513273"/>
    <n v="1438923600"/>
    <b v="0"/>
    <b v="1"/>
    <s v="theater/plays"/>
    <x v="3"/>
    <x v="3"/>
  </r>
  <r>
    <n v="882"/>
    <s v="White-Rosario"/>
    <s v="Balanced demand-driven definition"/>
    <n v="800"/>
    <n v="2960"/>
    <x v="1"/>
    <n v="80"/>
    <x v="1"/>
    <s v="USD"/>
    <n v="370"/>
    <n v="1421820000"/>
    <n v="37"/>
    <n v="1422165600"/>
    <b v="0"/>
    <b v="0"/>
    <s v="theater/plays"/>
    <x v="3"/>
    <x v="3"/>
  </r>
  <r>
    <n v="883"/>
    <s v="Simmons-Villarreal"/>
    <s v="Customer-focused mobile Graphic Interface"/>
    <n v="3400"/>
    <n v="8089"/>
    <x v="1"/>
    <n v="193"/>
    <x v="1"/>
    <s v="USD"/>
    <n v="237.91176470588232"/>
    <n v="1274763600"/>
    <n v="41.911917098445599"/>
    <n v="1277874000"/>
    <b v="0"/>
    <b v="0"/>
    <s v="film &amp; video/shorts"/>
    <x v="4"/>
    <x v="12"/>
  </r>
  <r>
    <n v="884"/>
    <s v="Strickland Group"/>
    <s v="Horizontal secondary interface"/>
    <n v="170800"/>
    <n v="109374"/>
    <x v="0"/>
    <n v="1886"/>
    <x v="1"/>
    <s v="USD"/>
    <n v="64.036299765807954"/>
    <n v="1399179600"/>
    <n v="57.992576882290564"/>
    <n v="1399352400"/>
    <b v="0"/>
    <b v="1"/>
    <s v="theater/plays"/>
    <x v="3"/>
    <x v="3"/>
  </r>
  <r>
    <n v="885"/>
    <s v="Lynch Ltd"/>
    <s v="Virtual analyzing collaboration"/>
    <n v="1800"/>
    <n v="2129"/>
    <x v="1"/>
    <n v="52"/>
    <x v="1"/>
    <s v="USD"/>
    <n v="118.27777777777777"/>
    <n v="1275800400"/>
    <n v="40.942307692307693"/>
    <n v="1279083600"/>
    <b v="0"/>
    <b v="0"/>
    <s v="theater/plays"/>
    <x v="3"/>
    <x v="3"/>
  </r>
  <r>
    <n v="886"/>
    <s v="Sanders LLC"/>
    <s v="Multi-tiered explicit focus group"/>
    <n v="150600"/>
    <n v="127745"/>
    <x v="0"/>
    <n v="1825"/>
    <x v="1"/>
    <s v="USD"/>
    <n v="84.824037184594957"/>
    <n v="1282798800"/>
    <n v="69.9972602739726"/>
    <n v="1284354000"/>
    <b v="0"/>
    <b v="0"/>
    <s v="music/indie rock"/>
    <x v="1"/>
    <x v="7"/>
  </r>
  <r>
    <n v="887"/>
    <s v="Cooper LLC"/>
    <s v="Multi-layered systematic knowledgebase"/>
    <n v="7800"/>
    <n v="2289"/>
    <x v="0"/>
    <n v="31"/>
    <x v="1"/>
    <s v="USD"/>
    <n v="29.346153846153843"/>
    <n v="1437109200"/>
    <n v="73.838709677419359"/>
    <n v="1441170000"/>
    <b v="0"/>
    <b v="1"/>
    <s v="theater/plays"/>
    <x v="3"/>
    <x v="3"/>
  </r>
  <r>
    <n v="888"/>
    <s v="Palmer Ltd"/>
    <s v="Reverse-engineered uniform knowledge user"/>
    <n v="5800"/>
    <n v="12174"/>
    <x v="1"/>
    <n v="290"/>
    <x v="1"/>
    <s v="USD"/>
    <n v="209.89655172413794"/>
    <n v="1491886800"/>
    <n v="41.979310344827589"/>
    <n v="1493528400"/>
    <b v="0"/>
    <b v="0"/>
    <s v="theater/plays"/>
    <x v="3"/>
    <x v="3"/>
  </r>
  <r>
    <n v="889"/>
    <s v="Santos Group"/>
    <s v="Secured dynamic capacity"/>
    <n v="5600"/>
    <n v="9508"/>
    <x v="1"/>
    <n v="122"/>
    <x v="1"/>
    <s v="USD"/>
    <n v="169.78571428571431"/>
    <n v="1394600400"/>
    <n v="77.93442622950819"/>
    <n v="1395205200"/>
    <b v="0"/>
    <b v="1"/>
    <s v="music/electric music"/>
    <x v="1"/>
    <x v="5"/>
  </r>
  <r>
    <n v="890"/>
    <s v="Christian, Kim and Jimenez"/>
    <s v="Devolved foreground throughput"/>
    <n v="134400"/>
    <n v="155849"/>
    <x v="1"/>
    <n v="1470"/>
    <x v="1"/>
    <s v="USD"/>
    <n v="115.95907738095239"/>
    <n v="1561352400"/>
    <n v="106.01972789115646"/>
    <n v="1561438800"/>
    <b v="0"/>
    <b v="0"/>
    <s v="music/indie rock"/>
    <x v="1"/>
    <x v="7"/>
  </r>
  <r>
    <n v="891"/>
    <s v="Williams, Price and Hurley"/>
    <s v="Synchronized demand-driven infrastructure"/>
    <n v="3000"/>
    <n v="7758"/>
    <x v="1"/>
    <n v="165"/>
    <x v="0"/>
    <s v="CAD"/>
    <n v="258.59999999999997"/>
    <n v="1322892000"/>
    <n v="47.018181818181816"/>
    <n v="1326693600"/>
    <b v="0"/>
    <b v="0"/>
    <s v="film &amp; video/documentary"/>
    <x v="4"/>
    <x v="4"/>
  </r>
  <r>
    <n v="892"/>
    <s v="Anderson, Parks and Estrada"/>
    <s v="Realigned discrete structure"/>
    <n v="6000"/>
    <n v="13835"/>
    <x v="1"/>
    <n v="182"/>
    <x v="1"/>
    <s v="USD"/>
    <n v="230.58333333333331"/>
    <n v="1274418000"/>
    <n v="76.016483516483518"/>
    <n v="1277960400"/>
    <b v="0"/>
    <b v="0"/>
    <s v="publishing/translations"/>
    <x v="5"/>
    <x v="18"/>
  </r>
  <r>
    <n v="893"/>
    <s v="Collins-Martinez"/>
    <s v="Progressive grid-enabled website"/>
    <n v="8400"/>
    <n v="10770"/>
    <x v="1"/>
    <n v="199"/>
    <x v="6"/>
    <s v="EUR"/>
    <n v="128.21428571428572"/>
    <n v="1434344400"/>
    <n v="54.120603015075375"/>
    <n v="1434690000"/>
    <b v="0"/>
    <b v="1"/>
    <s v="film &amp; video/documentary"/>
    <x v="4"/>
    <x v="4"/>
  </r>
  <r>
    <n v="894"/>
    <s v="Barrett Inc"/>
    <s v="Organic cohesive neural-net"/>
    <n v="1700"/>
    <n v="3208"/>
    <x v="1"/>
    <n v="56"/>
    <x v="4"/>
    <s v="GBP"/>
    <n v="188.70588235294116"/>
    <n v="1373518800"/>
    <n v="57.285714285714285"/>
    <n v="1376110800"/>
    <b v="0"/>
    <b v="1"/>
    <s v="film &amp; video/television"/>
    <x v="4"/>
    <x v="19"/>
  </r>
  <r>
    <n v="895"/>
    <s v="Adams-Rollins"/>
    <s v="Integrated demand-driven info-mediaries"/>
    <n v="159800"/>
    <n v="11108"/>
    <x v="0"/>
    <n v="107"/>
    <x v="1"/>
    <s v="USD"/>
    <n v="6.9511889862327907"/>
    <n v="1517637600"/>
    <n v="103.81308411214954"/>
    <n v="1518415200"/>
    <b v="0"/>
    <b v="0"/>
    <s v="theater/plays"/>
    <x v="3"/>
    <x v="3"/>
  </r>
  <r>
    <n v="896"/>
    <s v="Wright-Bryant"/>
    <s v="Reverse-engineered client-server extranet"/>
    <n v="19800"/>
    <n v="153338"/>
    <x v="1"/>
    <n v="1460"/>
    <x v="2"/>
    <s v="AUD"/>
    <n v="774.43434343434342"/>
    <n v="1310619600"/>
    <n v="105.02602739726028"/>
    <n v="1310878800"/>
    <b v="0"/>
    <b v="1"/>
    <s v="food/food trucks"/>
    <x v="0"/>
    <x v="0"/>
  </r>
  <r>
    <n v="897"/>
    <s v="Berry-Cannon"/>
    <s v="Organized discrete encoding"/>
    <n v="8800"/>
    <n v="2437"/>
    <x v="0"/>
    <n v="27"/>
    <x v="1"/>
    <s v="USD"/>
    <n v="27.693181818181817"/>
    <n v="1556427600"/>
    <n v="90.259259259259252"/>
    <n v="1556600400"/>
    <b v="0"/>
    <b v="0"/>
    <s v="theater/plays"/>
    <x v="3"/>
    <x v="3"/>
  </r>
  <r>
    <n v="898"/>
    <s v="Davis-Gonzalez"/>
    <s v="Balanced regional flexibility"/>
    <n v="179100"/>
    <n v="93991"/>
    <x v="0"/>
    <n v="1221"/>
    <x v="1"/>
    <s v="USD"/>
    <n v="52.479620323841424"/>
    <n v="1576476000"/>
    <n v="76.978705978705975"/>
    <n v="1576994400"/>
    <b v="0"/>
    <b v="0"/>
    <s v="film &amp; video/documentary"/>
    <x v="4"/>
    <x v="4"/>
  </r>
  <r>
    <n v="899"/>
    <s v="Best-Young"/>
    <s v="Implemented multimedia time-frame"/>
    <n v="3100"/>
    <n v="12620"/>
    <x v="1"/>
    <n v="123"/>
    <x v="5"/>
    <s v="CHF"/>
    <n v="407.09677419354841"/>
    <n v="1381122000"/>
    <n v="102.60162601626017"/>
    <n v="1382677200"/>
    <b v="0"/>
    <b v="0"/>
    <s v="music/jazz"/>
    <x v="1"/>
    <x v="17"/>
  </r>
  <r>
    <n v="900"/>
    <s v="Powers, Smith and Deleon"/>
    <s v="Enhanced uniform service-desk"/>
    <n v="100"/>
    <n v="2"/>
    <x v="0"/>
    <n v="1"/>
    <x v="1"/>
    <s v="USD"/>
    <n v="2"/>
    <n v="1411102800"/>
    <n v="2"/>
    <n v="1411189200"/>
    <b v="0"/>
    <b v="1"/>
    <s v="technology/web"/>
    <x v="2"/>
    <x v="2"/>
  </r>
  <r>
    <n v="901"/>
    <s v="Hogan Group"/>
    <s v="Versatile bottom-line definition"/>
    <n v="5600"/>
    <n v="8746"/>
    <x v="1"/>
    <n v="159"/>
    <x v="1"/>
    <s v="USD"/>
    <n v="156.17857142857144"/>
    <n v="1531803600"/>
    <n v="55.0062893081761"/>
    <n v="1534654800"/>
    <b v="0"/>
    <b v="1"/>
    <s v="music/rock"/>
    <x v="1"/>
    <x v="1"/>
  </r>
  <r>
    <n v="902"/>
    <s v="Wang, Silva and Byrd"/>
    <s v="Integrated bifurcated software"/>
    <n v="1400"/>
    <n v="3534"/>
    <x v="1"/>
    <n v="110"/>
    <x v="1"/>
    <s v="USD"/>
    <n v="252.42857142857144"/>
    <n v="1454133600"/>
    <n v="32.127272727272725"/>
    <n v="1457762400"/>
    <b v="0"/>
    <b v="0"/>
    <s v="technology/web"/>
    <x v="2"/>
    <x v="2"/>
  </r>
  <r>
    <n v="903"/>
    <s v="Parker-Morris"/>
    <s v="Assimilated next generation instruction set"/>
    <n v="41000"/>
    <n v="709"/>
    <x v="2"/>
    <n v="14"/>
    <x v="1"/>
    <s v="USD"/>
    <n v="1.729268292682927"/>
    <n v="1336194000"/>
    <n v="50.642857142857146"/>
    <n v="1337490000"/>
    <b v="0"/>
    <b v="1"/>
    <s v="publishing/nonfiction"/>
    <x v="5"/>
    <x v="9"/>
  </r>
  <r>
    <n v="904"/>
    <s v="Rodriguez, Johnson and Jackson"/>
    <s v="Digitized foreground array"/>
    <n v="6500"/>
    <n v="795"/>
    <x v="0"/>
    <n v="16"/>
    <x v="1"/>
    <s v="USD"/>
    <n v="12.230769230769232"/>
    <n v="1349326800"/>
    <n v="49.6875"/>
    <n v="1349672400"/>
    <b v="0"/>
    <b v="0"/>
    <s v="publishing/radio &amp; podcasts"/>
    <x v="5"/>
    <x v="15"/>
  </r>
  <r>
    <n v="905"/>
    <s v="Haynes PLC"/>
    <s v="Re-engineered clear-thinking project"/>
    <n v="7900"/>
    <n v="12955"/>
    <x v="1"/>
    <n v="236"/>
    <x v="1"/>
    <s v="USD"/>
    <n v="163.98734177215189"/>
    <n v="1379566800"/>
    <n v="54.894067796610166"/>
    <n v="1379826000"/>
    <b v="0"/>
    <b v="0"/>
    <s v="theater/plays"/>
    <x v="3"/>
    <x v="3"/>
  </r>
  <r>
    <n v="906"/>
    <s v="Hayes Group"/>
    <s v="Implemented even-keeled standardization"/>
    <n v="5500"/>
    <n v="8964"/>
    <x v="1"/>
    <n v="191"/>
    <x v="1"/>
    <s v="USD"/>
    <n v="162.98181818181817"/>
    <n v="1494651600"/>
    <n v="46.931937172774866"/>
    <n v="1497762000"/>
    <b v="1"/>
    <b v="1"/>
    <s v="film &amp; video/documentary"/>
    <x v="4"/>
    <x v="4"/>
  </r>
  <r>
    <n v="907"/>
    <s v="White, Pena and Calhoun"/>
    <s v="Quality-focused asymmetric adapter"/>
    <n v="9100"/>
    <n v="1843"/>
    <x v="0"/>
    <n v="41"/>
    <x v="1"/>
    <s v="USD"/>
    <n v="20.252747252747252"/>
    <n v="1303880400"/>
    <n v="44.951219512195124"/>
    <n v="1304485200"/>
    <b v="0"/>
    <b v="0"/>
    <s v="theater/plays"/>
    <x v="3"/>
    <x v="3"/>
  </r>
  <r>
    <n v="908"/>
    <s v="Bryant-Pope"/>
    <s v="Networked intangible help-desk"/>
    <n v="38200"/>
    <n v="121950"/>
    <x v="1"/>
    <n v="3934"/>
    <x v="1"/>
    <s v="USD"/>
    <n v="319.24083769633506"/>
    <n v="1335934800"/>
    <n v="30.99898322318251"/>
    <n v="1336885200"/>
    <b v="0"/>
    <b v="0"/>
    <s v="games/video games"/>
    <x v="6"/>
    <x v="11"/>
  </r>
  <r>
    <n v="909"/>
    <s v="Gates, Li and Thompson"/>
    <s v="Synchronized attitude-oriented frame"/>
    <n v="1800"/>
    <n v="8621"/>
    <x v="1"/>
    <n v="80"/>
    <x v="0"/>
    <s v="CAD"/>
    <n v="478.94444444444446"/>
    <n v="1528088400"/>
    <n v="107.7625"/>
    <n v="1530421200"/>
    <b v="0"/>
    <b v="1"/>
    <s v="theater/plays"/>
    <x v="3"/>
    <x v="3"/>
  </r>
  <r>
    <n v="910"/>
    <s v="King-Morris"/>
    <s v="Proactive incremental architecture"/>
    <n v="154500"/>
    <n v="30215"/>
    <x v="3"/>
    <n v="296"/>
    <x v="1"/>
    <s v="USD"/>
    <n v="19.556634304207122"/>
    <n v="1421906400"/>
    <n v="102.07770270270271"/>
    <n v="1421992800"/>
    <b v="0"/>
    <b v="0"/>
    <s v="theater/plays"/>
    <x v="3"/>
    <x v="3"/>
  </r>
  <r>
    <n v="911"/>
    <s v="Carter, Cole and Curtis"/>
    <s v="Cloned responsive standardization"/>
    <n v="5800"/>
    <n v="11539"/>
    <x v="1"/>
    <n v="462"/>
    <x v="1"/>
    <s v="USD"/>
    <n v="198.94827586206895"/>
    <n v="1568005200"/>
    <n v="24.976190476190474"/>
    <n v="1568178000"/>
    <b v="1"/>
    <b v="0"/>
    <s v="technology/web"/>
    <x v="2"/>
    <x v="2"/>
  </r>
  <r>
    <n v="912"/>
    <s v="Sanchez-Parsons"/>
    <s v="Reduced bifurcated pricing structure"/>
    <n v="1800"/>
    <n v="14310"/>
    <x v="1"/>
    <n v="179"/>
    <x v="1"/>
    <s v="USD"/>
    <n v="795"/>
    <n v="1346821200"/>
    <n v="79.944134078212286"/>
    <n v="1347944400"/>
    <b v="1"/>
    <b v="0"/>
    <s v="film &amp; video/drama"/>
    <x v="4"/>
    <x v="6"/>
  </r>
  <r>
    <n v="913"/>
    <s v="Rivera-Pearson"/>
    <s v="Re-engineered asymmetric challenge"/>
    <n v="70200"/>
    <n v="35536"/>
    <x v="0"/>
    <n v="523"/>
    <x v="2"/>
    <s v="AUD"/>
    <n v="50.621082621082621"/>
    <n v="1557637200"/>
    <n v="67.946462715105156"/>
    <n v="1558760400"/>
    <b v="0"/>
    <b v="0"/>
    <s v="film &amp; video/drama"/>
    <x v="4"/>
    <x v="6"/>
  </r>
  <r>
    <n v="914"/>
    <s v="Ramirez, Padilla and Barrera"/>
    <s v="Diverse client-driven conglomeration"/>
    <n v="6400"/>
    <n v="3676"/>
    <x v="0"/>
    <n v="141"/>
    <x v="4"/>
    <s v="GBP"/>
    <n v="57.4375"/>
    <n v="1375592400"/>
    <n v="26.070921985815602"/>
    <n v="1376629200"/>
    <b v="0"/>
    <b v="0"/>
    <s v="theater/plays"/>
    <x v="3"/>
    <x v="3"/>
  </r>
  <r>
    <n v="915"/>
    <s v="Riggs Group"/>
    <s v="Configurable upward-trending solution"/>
    <n v="125900"/>
    <n v="195936"/>
    <x v="1"/>
    <n v="1866"/>
    <x v="4"/>
    <s v="GBP"/>
    <n v="155.62827640984909"/>
    <n v="1503982800"/>
    <n v="105.0032154340836"/>
    <n v="1504760400"/>
    <b v="0"/>
    <b v="0"/>
    <s v="film &amp; video/television"/>
    <x v="4"/>
    <x v="19"/>
  </r>
  <r>
    <n v="916"/>
    <s v="Clements Ltd"/>
    <s v="Persistent bandwidth-monitored framework"/>
    <n v="3700"/>
    <n v="1343"/>
    <x v="0"/>
    <n v="52"/>
    <x v="1"/>
    <s v="USD"/>
    <n v="36.297297297297298"/>
    <n v="1418882400"/>
    <n v="25.826923076923077"/>
    <n v="1419660000"/>
    <b v="0"/>
    <b v="0"/>
    <s v="photography/photography books"/>
    <x v="7"/>
    <x v="14"/>
  </r>
  <r>
    <n v="917"/>
    <s v="Cooper Inc"/>
    <s v="Polarized discrete product"/>
    <n v="3600"/>
    <n v="2097"/>
    <x v="2"/>
    <n v="27"/>
    <x v="4"/>
    <s v="GBP"/>
    <n v="58.25"/>
    <n v="1309237200"/>
    <n v="77.666666666666671"/>
    <n v="1311310800"/>
    <b v="0"/>
    <b v="1"/>
    <s v="film &amp; video/shorts"/>
    <x v="4"/>
    <x v="12"/>
  </r>
  <r>
    <n v="918"/>
    <s v="Jones-Gonzalez"/>
    <s v="Seamless dynamic website"/>
    <n v="3800"/>
    <n v="9021"/>
    <x v="1"/>
    <n v="156"/>
    <x v="5"/>
    <s v="CHF"/>
    <n v="237.39473684210526"/>
    <n v="1343365200"/>
    <n v="57.82692307692308"/>
    <n v="1344315600"/>
    <b v="0"/>
    <b v="0"/>
    <s v="publishing/radio &amp; podcasts"/>
    <x v="5"/>
    <x v="15"/>
  </r>
  <r>
    <n v="919"/>
    <s v="Fox Ltd"/>
    <s v="Extended multimedia firmware"/>
    <n v="35600"/>
    <n v="20915"/>
    <x v="0"/>
    <n v="225"/>
    <x v="2"/>
    <s v="AUD"/>
    <n v="58.75"/>
    <n v="1507957200"/>
    <n v="92.955555555555549"/>
    <n v="1510725600"/>
    <b v="0"/>
    <b v="1"/>
    <s v="theater/plays"/>
    <x v="3"/>
    <x v="3"/>
  </r>
  <r>
    <n v="920"/>
    <s v="Green, Murphy and Webb"/>
    <s v="Versatile directional project"/>
    <n v="5300"/>
    <n v="9676"/>
    <x v="1"/>
    <n v="255"/>
    <x v="1"/>
    <s v="USD"/>
    <n v="182.56603773584905"/>
    <n v="1549519200"/>
    <n v="37.945098039215686"/>
    <n v="1551247200"/>
    <b v="1"/>
    <b v="0"/>
    <s v="film &amp; video/animation"/>
    <x v="4"/>
    <x v="10"/>
  </r>
  <r>
    <n v="921"/>
    <s v="Stevenson PLC"/>
    <s v="Profound directional knowledge user"/>
    <n v="160400"/>
    <n v="1210"/>
    <x v="0"/>
    <n v="38"/>
    <x v="1"/>
    <s v="USD"/>
    <n v="0.75436408977556113"/>
    <n v="1329026400"/>
    <n v="31.842105263157894"/>
    <n v="1330236000"/>
    <b v="0"/>
    <b v="0"/>
    <s v="technology/web"/>
    <x v="2"/>
    <x v="2"/>
  </r>
  <r>
    <n v="922"/>
    <s v="Soto-Anthony"/>
    <s v="Ameliorated logistical capability"/>
    <n v="51400"/>
    <n v="90440"/>
    <x v="1"/>
    <n v="2261"/>
    <x v="1"/>
    <s v="USD"/>
    <n v="175.95330739299609"/>
    <n v="1544335200"/>
    <n v="40"/>
    <n v="1545112800"/>
    <b v="0"/>
    <b v="1"/>
    <s v="music/world music"/>
    <x v="1"/>
    <x v="21"/>
  </r>
  <r>
    <n v="923"/>
    <s v="Wise and Sons"/>
    <s v="Sharable discrete definition"/>
    <n v="1700"/>
    <n v="4044"/>
    <x v="1"/>
    <n v="40"/>
    <x v="1"/>
    <s v="USD"/>
    <n v="237.88235294117646"/>
    <n v="1279083600"/>
    <n v="101.1"/>
    <n v="1279170000"/>
    <b v="0"/>
    <b v="0"/>
    <s v="theater/plays"/>
    <x v="3"/>
    <x v="3"/>
  </r>
  <r>
    <n v="924"/>
    <s v="Butler-Barr"/>
    <s v="User-friendly next generation core"/>
    <n v="39400"/>
    <n v="192292"/>
    <x v="1"/>
    <n v="2289"/>
    <x v="6"/>
    <s v="EUR"/>
    <n v="488.05076142131981"/>
    <n v="1572498000"/>
    <n v="84.006989951944078"/>
    <n v="1573452000"/>
    <b v="0"/>
    <b v="0"/>
    <s v="theater/plays"/>
    <x v="3"/>
    <x v="3"/>
  </r>
  <r>
    <n v="925"/>
    <s v="Wilson, Jefferson and Anderson"/>
    <s v="Profit-focused empowering system engine"/>
    <n v="3000"/>
    <n v="6722"/>
    <x v="1"/>
    <n v="65"/>
    <x v="1"/>
    <s v="USD"/>
    <n v="224.06666666666669"/>
    <n v="1506056400"/>
    <n v="103.41538461538461"/>
    <n v="1507093200"/>
    <b v="0"/>
    <b v="0"/>
    <s v="theater/plays"/>
    <x v="3"/>
    <x v="3"/>
  </r>
  <r>
    <n v="926"/>
    <s v="Brown-Oliver"/>
    <s v="Synchronized cohesive encoding"/>
    <n v="8700"/>
    <n v="1577"/>
    <x v="0"/>
    <n v="15"/>
    <x v="1"/>
    <s v="USD"/>
    <n v="18.126436781609197"/>
    <n v="1463029200"/>
    <n v="105.13333333333334"/>
    <n v="1463374800"/>
    <b v="0"/>
    <b v="0"/>
    <s v="food/food trucks"/>
    <x v="0"/>
    <x v="0"/>
  </r>
  <r>
    <n v="927"/>
    <s v="Davis-Gardner"/>
    <s v="Synergistic dynamic utilization"/>
    <n v="7200"/>
    <n v="3301"/>
    <x v="0"/>
    <n v="37"/>
    <x v="1"/>
    <s v="USD"/>
    <n v="45.847222222222221"/>
    <n v="1342069200"/>
    <n v="89.21621621621621"/>
    <n v="1344574800"/>
    <b v="0"/>
    <b v="0"/>
    <s v="theater/plays"/>
    <x v="3"/>
    <x v="3"/>
  </r>
  <r>
    <n v="928"/>
    <s v="Dawson Group"/>
    <s v="Triple-buffered bi-directional model"/>
    <n v="167400"/>
    <n v="196386"/>
    <x v="1"/>
    <n v="3777"/>
    <x v="6"/>
    <s v="EUR"/>
    <n v="117.31541218637993"/>
    <n v="1388296800"/>
    <n v="51.995234312946785"/>
    <n v="1389074400"/>
    <b v="0"/>
    <b v="0"/>
    <s v="technology/web"/>
    <x v="2"/>
    <x v="2"/>
  </r>
  <r>
    <n v="929"/>
    <s v="Turner-Terrell"/>
    <s v="Polarized tertiary function"/>
    <n v="5500"/>
    <n v="11952"/>
    <x v="1"/>
    <n v="184"/>
    <x v="4"/>
    <s v="GBP"/>
    <n v="217.30909090909088"/>
    <n v="1493787600"/>
    <n v="64.956521739130437"/>
    <n v="1494997200"/>
    <b v="0"/>
    <b v="0"/>
    <s v="theater/plays"/>
    <x v="3"/>
    <x v="3"/>
  </r>
  <r>
    <n v="930"/>
    <s v="Hall, Buchanan and Benton"/>
    <s v="Configurable fault-tolerant structure"/>
    <n v="3500"/>
    <n v="3930"/>
    <x v="1"/>
    <n v="85"/>
    <x v="1"/>
    <s v="USD"/>
    <n v="112.28571428571428"/>
    <n v="1424844000"/>
    <n v="46.235294117647058"/>
    <n v="1425448800"/>
    <b v="0"/>
    <b v="1"/>
    <s v="theater/plays"/>
    <x v="3"/>
    <x v="3"/>
  </r>
  <r>
    <n v="931"/>
    <s v="Lowery, Hayden and Cruz"/>
    <s v="Digitized 24/7 budgetary management"/>
    <n v="7900"/>
    <n v="5729"/>
    <x v="0"/>
    <n v="112"/>
    <x v="1"/>
    <s v="USD"/>
    <n v="72.51898734177216"/>
    <n v="1403931600"/>
    <n v="51.151785714285715"/>
    <n v="1404104400"/>
    <b v="0"/>
    <b v="1"/>
    <s v="theater/plays"/>
    <x v="3"/>
    <x v="3"/>
  </r>
  <r>
    <n v="932"/>
    <s v="Mora, Miller and Harper"/>
    <s v="Stand-alone zero tolerance algorithm"/>
    <n v="2300"/>
    <n v="4883"/>
    <x v="1"/>
    <n v="144"/>
    <x v="1"/>
    <s v="USD"/>
    <n v="212.30434782608697"/>
    <n v="1394514000"/>
    <n v="33.909722222222221"/>
    <n v="1394773200"/>
    <b v="0"/>
    <b v="0"/>
    <s v="music/rock"/>
    <x v="1"/>
    <x v="1"/>
  </r>
  <r>
    <n v="933"/>
    <s v="Espinoza Group"/>
    <s v="Implemented tangible support"/>
    <n v="73000"/>
    <n v="175015"/>
    <x v="1"/>
    <n v="1902"/>
    <x v="1"/>
    <s v="USD"/>
    <n v="239.74657534246577"/>
    <n v="1365397200"/>
    <n v="92.016298633017882"/>
    <n v="1366520400"/>
    <b v="0"/>
    <b v="0"/>
    <s v="theater/plays"/>
    <x v="3"/>
    <x v="3"/>
  </r>
  <r>
    <n v="934"/>
    <s v="Davis, Crawford and Lopez"/>
    <s v="Reactive radical framework"/>
    <n v="6200"/>
    <n v="11280"/>
    <x v="1"/>
    <n v="105"/>
    <x v="1"/>
    <s v="USD"/>
    <n v="181.93548387096774"/>
    <n v="1456120800"/>
    <n v="107.42857142857143"/>
    <n v="1456639200"/>
    <b v="0"/>
    <b v="0"/>
    <s v="theater/plays"/>
    <x v="3"/>
    <x v="3"/>
  </r>
  <r>
    <n v="935"/>
    <s v="Richards, Stevens and Fleming"/>
    <s v="Object-based full-range knowledge user"/>
    <n v="6100"/>
    <n v="10012"/>
    <x v="1"/>
    <n v="132"/>
    <x v="1"/>
    <s v="USD"/>
    <n v="164.13114754098362"/>
    <n v="1437714000"/>
    <n v="75.848484848484844"/>
    <n v="1438318800"/>
    <b v="0"/>
    <b v="0"/>
    <s v="theater/plays"/>
    <x v="3"/>
    <x v="3"/>
  </r>
  <r>
    <n v="936"/>
    <s v="Brown Ltd"/>
    <s v="Enhanced composite contingency"/>
    <n v="103200"/>
    <n v="1690"/>
    <x v="0"/>
    <n v="21"/>
    <x v="1"/>
    <s v="USD"/>
    <n v="1.6375968992248062"/>
    <n v="1563771600"/>
    <n v="80.476190476190482"/>
    <n v="1564030800"/>
    <b v="1"/>
    <b v="0"/>
    <s v="theater/plays"/>
    <x v="3"/>
    <x v="3"/>
  </r>
  <r>
    <n v="937"/>
    <s v="Tapia, Sandoval and Hurley"/>
    <s v="Cloned fresh-thinking model"/>
    <n v="171000"/>
    <n v="84891"/>
    <x v="3"/>
    <n v="976"/>
    <x v="1"/>
    <s v="USD"/>
    <n v="49.64385964912281"/>
    <n v="1448517600"/>
    <n v="86.978483606557376"/>
    <n v="1449295200"/>
    <b v="0"/>
    <b v="0"/>
    <s v="film &amp; video/documentary"/>
    <x v="4"/>
    <x v="4"/>
  </r>
  <r>
    <n v="938"/>
    <s v="Allen Inc"/>
    <s v="Total dedicated benchmark"/>
    <n v="9200"/>
    <n v="10093"/>
    <x v="1"/>
    <n v="96"/>
    <x v="1"/>
    <s v="USD"/>
    <n v="109.70652173913042"/>
    <n v="1528779600"/>
    <n v="105.13541666666667"/>
    <n v="1531890000"/>
    <b v="0"/>
    <b v="1"/>
    <s v="publishing/fiction"/>
    <x v="5"/>
    <x v="13"/>
  </r>
  <r>
    <n v="939"/>
    <s v="Williams, Johnson and Campbell"/>
    <s v="Streamlined human-resource Graphic Interface"/>
    <n v="7800"/>
    <n v="3839"/>
    <x v="0"/>
    <n v="67"/>
    <x v="1"/>
    <s v="USD"/>
    <n v="49.217948717948715"/>
    <n v="1304744400"/>
    <n v="57.298507462686565"/>
    <n v="1306213200"/>
    <b v="0"/>
    <b v="1"/>
    <s v="games/video games"/>
    <x v="6"/>
    <x v="11"/>
  </r>
  <r>
    <n v="940"/>
    <s v="Wiggins Ltd"/>
    <s v="Upgradable analyzing core"/>
    <n v="9900"/>
    <n v="6161"/>
    <x v="2"/>
    <n v="66"/>
    <x v="0"/>
    <s v="CAD"/>
    <n v="62.232323232323225"/>
    <n v="1354341600"/>
    <n v="93.348484848484844"/>
    <n v="1356242400"/>
    <b v="0"/>
    <b v="0"/>
    <s v="technology/web"/>
    <x v="2"/>
    <x v="2"/>
  </r>
  <r>
    <n v="941"/>
    <s v="Luna-Horne"/>
    <s v="Profound exuding pricing structure"/>
    <n v="43000"/>
    <n v="5615"/>
    <x v="0"/>
    <n v="78"/>
    <x v="1"/>
    <s v="USD"/>
    <n v="13.05813953488372"/>
    <n v="1294552800"/>
    <n v="71.987179487179489"/>
    <n v="1297576800"/>
    <b v="1"/>
    <b v="0"/>
    <s v="theater/plays"/>
    <x v="3"/>
    <x v="3"/>
  </r>
  <r>
    <n v="942"/>
    <s v="Allen Inc"/>
    <s v="Horizontal optimizing model"/>
    <n v="9600"/>
    <n v="6205"/>
    <x v="0"/>
    <n v="67"/>
    <x v="2"/>
    <s v="AUD"/>
    <n v="64.635416666666671"/>
    <n v="1295935200"/>
    <n v="92.611940298507463"/>
    <n v="1296194400"/>
    <b v="0"/>
    <b v="0"/>
    <s v="theater/plays"/>
    <x v="3"/>
    <x v="3"/>
  </r>
  <r>
    <n v="943"/>
    <s v="Peterson, Gonzalez and Spencer"/>
    <s v="Synchronized fault-tolerant algorithm"/>
    <n v="7500"/>
    <n v="11969"/>
    <x v="1"/>
    <n v="114"/>
    <x v="1"/>
    <s v="USD"/>
    <n v="159.58666666666667"/>
    <n v="1411534800"/>
    <n v="104.99122807017544"/>
    <n v="1414558800"/>
    <b v="0"/>
    <b v="0"/>
    <s v="food/food trucks"/>
    <x v="0"/>
    <x v="0"/>
  </r>
  <r>
    <n v="944"/>
    <s v="Walter Inc"/>
    <s v="Streamlined 5thgeneration intranet"/>
    <n v="10000"/>
    <n v="8142"/>
    <x v="0"/>
    <n v="263"/>
    <x v="2"/>
    <s v="AUD"/>
    <n v="81.42"/>
    <n v="1486706400"/>
    <n v="30.958174904942965"/>
    <n v="1488348000"/>
    <b v="0"/>
    <b v="0"/>
    <s v="photography/photography books"/>
    <x v="7"/>
    <x v="14"/>
  </r>
  <r>
    <n v="945"/>
    <s v="Sanders, Farley and Huffman"/>
    <s v="Cross-group clear-thinking task-force"/>
    <n v="172000"/>
    <n v="55805"/>
    <x v="0"/>
    <n v="1691"/>
    <x v="1"/>
    <s v="USD"/>
    <n v="32.444767441860463"/>
    <n v="1333602000"/>
    <n v="33.001182732111175"/>
    <n v="1334898000"/>
    <b v="1"/>
    <b v="0"/>
    <s v="photography/photography books"/>
    <x v="7"/>
    <x v="14"/>
  </r>
  <r>
    <n v="946"/>
    <s v="Hall, Holmes and Walker"/>
    <s v="Public-key bandwidth-monitored intranet"/>
    <n v="153700"/>
    <n v="15238"/>
    <x v="0"/>
    <n v="181"/>
    <x v="1"/>
    <s v="USD"/>
    <n v="9.9141184124918666"/>
    <n v="1308200400"/>
    <n v="84.187845303867405"/>
    <n v="1308373200"/>
    <b v="0"/>
    <b v="0"/>
    <s v="theater/plays"/>
    <x v="3"/>
    <x v="3"/>
  </r>
  <r>
    <n v="947"/>
    <s v="Smith-Powell"/>
    <s v="Upgradable clear-thinking hardware"/>
    <n v="3600"/>
    <n v="961"/>
    <x v="0"/>
    <n v="13"/>
    <x v="1"/>
    <s v="USD"/>
    <n v="26.694444444444443"/>
    <n v="1411707600"/>
    <n v="73.92307692307692"/>
    <n v="1412312400"/>
    <b v="0"/>
    <b v="0"/>
    <s v="theater/plays"/>
    <x v="3"/>
    <x v="3"/>
  </r>
  <r>
    <n v="948"/>
    <s v="Smith-Hill"/>
    <s v="Integrated holistic paradigm"/>
    <n v="9400"/>
    <n v="5918"/>
    <x v="3"/>
    <n v="160"/>
    <x v="1"/>
    <s v="USD"/>
    <n v="62.957446808510639"/>
    <n v="1418364000"/>
    <n v="36.987499999999997"/>
    <n v="1419228000"/>
    <b v="1"/>
    <b v="1"/>
    <s v="film &amp; video/documentary"/>
    <x v="4"/>
    <x v="4"/>
  </r>
  <r>
    <n v="949"/>
    <s v="Wright LLC"/>
    <s v="Seamless clear-thinking conglomeration"/>
    <n v="5900"/>
    <n v="9520"/>
    <x v="1"/>
    <n v="203"/>
    <x v="1"/>
    <s v="USD"/>
    <n v="161.35593220338984"/>
    <n v="1429333200"/>
    <n v="46.896551724137929"/>
    <n v="1430974800"/>
    <b v="0"/>
    <b v="0"/>
    <s v="technology/web"/>
    <x v="2"/>
    <x v="2"/>
  </r>
  <r>
    <n v="950"/>
    <s v="Williams, Orozco and Gomez"/>
    <s v="Persistent content-based methodology"/>
    <n v="100"/>
    <n v="5"/>
    <x v="0"/>
    <n v="1"/>
    <x v="1"/>
    <s v="USD"/>
    <n v="5"/>
    <n v="1555390800"/>
    <n v="5"/>
    <n v="1555822800"/>
    <b v="0"/>
    <b v="1"/>
    <s v="theater/plays"/>
    <x v="3"/>
    <x v="3"/>
  </r>
  <r>
    <n v="951"/>
    <s v="Peterson Ltd"/>
    <s v="Re-engineered 24hour matrix"/>
    <n v="14500"/>
    <n v="159056"/>
    <x v="1"/>
    <n v="1559"/>
    <x v="1"/>
    <s v="USD"/>
    <n v="1096.9379310344827"/>
    <n v="1482732000"/>
    <n v="102.02437459910199"/>
    <n v="1482818400"/>
    <b v="0"/>
    <b v="1"/>
    <s v="music/rock"/>
    <x v="1"/>
    <x v="1"/>
  </r>
  <r>
    <n v="952"/>
    <s v="Cummings-Hayes"/>
    <s v="Virtual multi-tasking core"/>
    <n v="145500"/>
    <n v="101987"/>
    <x v="3"/>
    <n v="2266"/>
    <x v="1"/>
    <s v="USD"/>
    <n v="70.094158075601371"/>
    <n v="1470718800"/>
    <n v="45.007502206531335"/>
    <n v="1471928400"/>
    <b v="0"/>
    <b v="0"/>
    <s v="film &amp; video/documentary"/>
    <x v="4"/>
    <x v="4"/>
  </r>
  <r>
    <n v="953"/>
    <s v="Boyle Ltd"/>
    <s v="Streamlined fault-tolerant conglomeration"/>
    <n v="3300"/>
    <n v="1980"/>
    <x v="0"/>
    <n v="21"/>
    <x v="1"/>
    <s v="USD"/>
    <n v="60"/>
    <n v="1450591200"/>
    <n v="94.285714285714292"/>
    <n v="1453701600"/>
    <b v="0"/>
    <b v="1"/>
    <s v="film &amp; video/science fiction"/>
    <x v="4"/>
    <x v="22"/>
  </r>
  <r>
    <n v="954"/>
    <s v="Henderson, Parker and Diaz"/>
    <s v="Enterprise-wide client-driven policy"/>
    <n v="42600"/>
    <n v="156384"/>
    <x v="1"/>
    <n v="1548"/>
    <x v="2"/>
    <s v="AUD"/>
    <n v="367.0985915492958"/>
    <n v="1348290000"/>
    <n v="101.02325581395348"/>
    <n v="1350363600"/>
    <b v="0"/>
    <b v="0"/>
    <s v="technology/web"/>
    <x v="2"/>
    <x v="2"/>
  </r>
  <r>
    <n v="955"/>
    <s v="Moss-Obrien"/>
    <s v="Function-based next generation emulation"/>
    <n v="700"/>
    <n v="7763"/>
    <x v="1"/>
    <n v="80"/>
    <x v="1"/>
    <s v="USD"/>
    <n v="1109"/>
    <n v="1353823200"/>
    <n v="97.037499999999994"/>
    <n v="1353996000"/>
    <b v="0"/>
    <b v="0"/>
    <s v="theater/plays"/>
    <x v="3"/>
    <x v="3"/>
  </r>
  <r>
    <n v="956"/>
    <s v="Wood Inc"/>
    <s v="Re-engineered composite focus group"/>
    <n v="187600"/>
    <n v="35698"/>
    <x v="0"/>
    <n v="830"/>
    <x v="1"/>
    <s v="USD"/>
    <n v="19.028784648187631"/>
    <n v="1450764000"/>
    <n v="43.00963855421687"/>
    <n v="1451109600"/>
    <b v="0"/>
    <b v="0"/>
    <s v="film &amp; video/science fiction"/>
    <x v="4"/>
    <x v="22"/>
  </r>
  <r>
    <n v="957"/>
    <s v="Riley, Cohen and Goodman"/>
    <s v="Profound mission-critical function"/>
    <n v="9800"/>
    <n v="12434"/>
    <x v="1"/>
    <n v="131"/>
    <x v="1"/>
    <s v="USD"/>
    <n v="126.87755102040816"/>
    <n v="1329372000"/>
    <n v="94.916030534351151"/>
    <n v="1329631200"/>
    <b v="0"/>
    <b v="0"/>
    <s v="theater/plays"/>
    <x v="3"/>
    <x v="3"/>
  </r>
  <r>
    <n v="958"/>
    <s v="Green, Robinson and Ho"/>
    <s v="De-engineered zero-defect open system"/>
    <n v="1100"/>
    <n v="8081"/>
    <x v="1"/>
    <n v="112"/>
    <x v="1"/>
    <s v="USD"/>
    <n v="734.63636363636363"/>
    <n v="1277096400"/>
    <n v="72.151785714285708"/>
    <n v="1278997200"/>
    <b v="0"/>
    <b v="0"/>
    <s v="film &amp; video/animation"/>
    <x v="4"/>
    <x v="10"/>
  </r>
  <r>
    <n v="959"/>
    <s v="Black-Graham"/>
    <s v="Operative hybrid utilization"/>
    <n v="145000"/>
    <n v="6631"/>
    <x v="0"/>
    <n v="130"/>
    <x v="1"/>
    <s v="USD"/>
    <n v="4.5731034482758623"/>
    <n v="1277701200"/>
    <n v="51.007692307692309"/>
    <n v="1280120400"/>
    <b v="0"/>
    <b v="0"/>
    <s v="publishing/translations"/>
    <x v="5"/>
    <x v="18"/>
  </r>
  <r>
    <n v="960"/>
    <s v="Robbins Group"/>
    <s v="Function-based interactive matrix"/>
    <n v="5500"/>
    <n v="4678"/>
    <x v="0"/>
    <n v="55"/>
    <x v="1"/>
    <s v="USD"/>
    <n v="85.054545454545448"/>
    <n v="1454911200"/>
    <n v="85.054545454545448"/>
    <n v="1458104400"/>
    <b v="0"/>
    <b v="0"/>
    <s v="technology/web"/>
    <x v="2"/>
    <x v="2"/>
  </r>
  <r>
    <n v="961"/>
    <s v="Mason, Case and May"/>
    <s v="Optimized content-based collaboration"/>
    <n v="5700"/>
    <n v="6800"/>
    <x v="1"/>
    <n v="155"/>
    <x v="1"/>
    <s v="USD"/>
    <n v="119.29824561403508"/>
    <n v="1297922400"/>
    <n v="43.87096774193548"/>
    <n v="1298268000"/>
    <b v="0"/>
    <b v="0"/>
    <s v="publishing/translations"/>
    <x v="5"/>
    <x v="18"/>
  </r>
  <r>
    <n v="962"/>
    <s v="Harris, Russell and Mitchell"/>
    <s v="User-centric cohesive policy"/>
    <n v="3600"/>
    <n v="10657"/>
    <x v="1"/>
    <n v="266"/>
    <x v="1"/>
    <s v="USD"/>
    <n v="296.02777777777777"/>
    <n v="1384408800"/>
    <n v="40.063909774436091"/>
    <n v="1386223200"/>
    <b v="0"/>
    <b v="0"/>
    <s v="food/food trucks"/>
    <x v="0"/>
    <x v="0"/>
  </r>
  <r>
    <n v="963"/>
    <s v="Rodriguez-Robinson"/>
    <s v="Ergonomic methodical hub"/>
    <n v="5900"/>
    <n v="4997"/>
    <x v="0"/>
    <n v="114"/>
    <x v="6"/>
    <s v="EUR"/>
    <n v="84.694915254237287"/>
    <n v="1299304800"/>
    <n v="43.833333333333336"/>
    <n v="1299823200"/>
    <b v="0"/>
    <b v="1"/>
    <s v="photography/photography books"/>
    <x v="7"/>
    <x v="14"/>
  </r>
  <r>
    <n v="964"/>
    <s v="Peck, Higgins and Smith"/>
    <s v="Devolved disintermediate encryption"/>
    <n v="3700"/>
    <n v="13164"/>
    <x v="1"/>
    <n v="155"/>
    <x v="1"/>
    <s v="USD"/>
    <n v="355.7837837837838"/>
    <n v="1431320400"/>
    <n v="84.92903225806451"/>
    <n v="1431752400"/>
    <b v="0"/>
    <b v="0"/>
    <s v="theater/plays"/>
    <x v="3"/>
    <x v="3"/>
  </r>
  <r>
    <n v="965"/>
    <s v="Nunez-King"/>
    <s v="Phased clear-thinking policy"/>
    <n v="2200"/>
    <n v="8501"/>
    <x v="1"/>
    <n v="207"/>
    <x v="4"/>
    <s v="GBP"/>
    <n v="386.40909090909093"/>
    <n v="1264399200"/>
    <n v="41.067632850241544"/>
    <n v="1267855200"/>
    <b v="0"/>
    <b v="0"/>
    <s v="music/rock"/>
    <x v="1"/>
    <x v="1"/>
  </r>
  <r>
    <n v="966"/>
    <s v="Davis and Sons"/>
    <s v="Seamless solution-oriented capacity"/>
    <n v="1700"/>
    <n v="13468"/>
    <x v="1"/>
    <n v="245"/>
    <x v="1"/>
    <s v="USD"/>
    <n v="792.23529411764707"/>
    <n v="1497502800"/>
    <n v="54.971428571428568"/>
    <n v="1497675600"/>
    <b v="0"/>
    <b v="0"/>
    <s v="theater/plays"/>
    <x v="3"/>
    <x v="3"/>
  </r>
  <r>
    <n v="967"/>
    <s v="Howard-Douglas"/>
    <s v="Organized human-resource attitude"/>
    <n v="88400"/>
    <n v="121138"/>
    <x v="1"/>
    <n v="1573"/>
    <x v="1"/>
    <s v="USD"/>
    <n v="137.03393665158373"/>
    <n v="1333688400"/>
    <n v="77.010807374443743"/>
    <n v="1336885200"/>
    <b v="0"/>
    <b v="0"/>
    <s v="music/world music"/>
    <x v="1"/>
    <x v="21"/>
  </r>
  <r>
    <n v="968"/>
    <s v="Gonzalez-White"/>
    <s v="Open-architected disintermediate budgetary management"/>
    <n v="2400"/>
    <n v="8117"/>
    <x v="1"/>
    <n v="114"/>
    <x v="1"/>
    <s v="USD"/>
    <n v="338.20833333333337"/>
    <n v="1293861600"/>
    <n v="71.201754385964918"/>
    <n v="1295157600"/>
    <b v="0"/>
    <b v="0"/>
    <s v="food/food trucks"/>
    <x v="0"/>
    <x v="0"/>
  </r>
  <r>
    <n v="969"/>
    <s v="Lopez-King"/>
    <s v="Multi-lateral radical solution"/>
    <n v="7900"/>
    <n v="8550"/>
    <x v="1"/>
    <n v="93"/>
    <x v="1"/>
    <s v="USD"/>
    <n v="108.22784810126582"/>
    <n v="1576994400"/>
    <n v="91.935483870967744"/>
    <n v="1577599200"/>
    <b v="0"/>
    <b v="0"/>
    <s v="theater/plays"/>
    <x v="3"/>
    <x v="3"/>
  </r>
  <r>
    <n v="970"/>
    <s v="Glover-Nelson"/>
    <s v="Inverse context-sensitive info-mediaries"/>
    <n v="94900"/>
    <n v="57659"/>
    <x v="0"/>
    <n v="594"/>
    <x v="1"/>
    <s v="USD"/>
    <n v="60.757639620653315"/>
    <n v="1304917200"/>
    <n v="97.069023569023571"/>
    <n v="1305003600"/>
    <b v="0"/>
    <b v="0"/>
    <s v="theater/plays"/>
    <x v="3"/>
    <x v="3"/>
  </r>
  <r>
    <n v="971"/>
    <s v="Garner and Sons"/>
    <s v="Versatile neutral workforce"/>
    <n v="5100"/>
    <n v="1414"/>
    <x v="0"/>
    <n v="24"/>
    <x v="1"/>
    <s v="USD"/>
    <n v="27.725490196078432"/>
    <n v="1381208400"/>
    <n v="58.916666666666664"/>
    <n v="1381726800"/>
    <b v="0"/>
    <b v="0"/>
    <s v="film &amp; video/television"/>
    <x v="4"/>
    <x v="19"/>
  </r>
  <r>
    <n v="972"/>
    <s v="Sellers, Roach and Garrison"/>
    <s v="Multi-tiered systematic knowledge user"/>
    <n v="42700"/>
    <n v="97524"/>
    <x v="1"/>
    <n v="1681"/>
    <x v="1"/>
    <s v="USD"/>
    <n v="228.3934426229508"/>
    <n v="1401685200"/>
    <n v="58.015466983938133"/>
    <n v="1402462800"/>
    <b v="0"/>
    <b v="1"/>
    <s v="technology/web"/>
    <x v="2"/>
    <x v="2"/>
  </r>
  <r>
    <n v="973"/>
    <s v="Herrera, Bennett and Silva"/>
    <s v="Programmable multi-state algorithm"/>
    <n v="121100"/>
    <n v="26176"/>
    <x v="0"/>
    <n v="252"/>
    <x v="1"/>
    <s v="USD"/>
    <n v="21.615194054500414"/>
    <n v="1291960800"/>
    <n v="103.87301587301587"/>
    <n v="1292133600"/>
    <b v="0"/>
    <b v="1"/>
    <s v="theater/plays"/>
    <x v="3"/>
    <x v="3"/>
  </r>
  <r>
    <n v="974"/>
    <s v="Thomas, Clay and Mendoza"/>
    <s v="Multi-channeled reciprocal interface"/>
    <n v="800"/>
    <n v="2991"/>
    <x v="1"/>
    <n v="32"/>
    <x v="1"/>
    <s v="USD"/>
    <n v="373.875"/>
    <n v="1368853200"/>
    <n v="93.46875"/>
    <n v="1368939600"/>
    <b v="0"/>
    <b v="0"/>
    <s v="music/indie rock"/>
    <x v="1"/>
    <x v="7"/>
  </r>
  <r>
    <n v="975"/>
    <s v="Ayala Group"/>
    <s v="Right-sized maximized migration"/>
    <n v="5400"/>
    <n v="8366"/>
    <x v="1"/>
    <n v="135"/>
    <x v="1"/>
    <s v="USD"/>
    <n v="154.92592592592592"/>
    <n v="1448776800"/>
    <n v="61.970370370370368"/>
    <n v="1452146400"/>
    <b v="0"/>
    <b v="1"/>
    <s v="theater/plays"/>
    <x v="3"/>
    <x v="3"/>
  </r>
  <r>
    <n v="976"/>
    <s v="Huerta, Roberts and Dickerson"/>
    <s v="Self-enabling value-added artificial intelligence"/>
    <n v="4000"/>
    <n v="12886"/>
    <x v="1"/>
    <n v="140"/>
    <x v="1"/>
    <s v="USD"/>
    <n v="322.14999999999998"/>
    <n v="1296194400"/>
    <n v="92.042857142857144"/>
    <n v="1296712800"/>
    <b v="0"/>
    <b v="1"/>
    <s v="theater/plays"/>
    <x v="3"/>
    <x v="3"/>
  </r>
  <r>
    <n v="977"/>
    <s v="Johnson Group"/>
    <s v="Vision-oriented interactive solution"/>
    <n v="7000"/>
    <n v="5177"/>
    <x v="0"/>
    <n v="67"/>
    <x v="1"/>
    <s v="USD"/>
    <n v="73.957142857142856"/>
    <n v="1517983200"/>
    <n v="77.268656716417908"/>
    <n v="1520748000"/>
    <b v="0"/>
    <b v="0"/>
    <s v="food/food trucks"/>
    <x v="0"/>
    <x v="0"/>
  </r>
  <r>
    <n v="978"/>
    <s v="Bailey, Nguyen and Martinez"/>
    <s v="Fundamental user-facing productivity"/>
    <n v="1000"/>
    <n v="8641"/>
    <x v="1"/>
    <n v="92"/>
    <x v="1"/>
    <s v="USD"/>
    <n v="864.1"/>
    <n v="1478930400"/>
    <n v="93.923913043478265"/>
    <n v="1480831200"/>
    <b v="0"/>
    <b v="0"/>
    <s v="games/video games"/>
    <x v="6"/>
    <x v="11"/>
  </r>
  <r>
    <n v="979"/>
    <s v="Williams, Martin and Meyer"/>
    <s v="Innovative well-modulated capability"/>
    <n v="60200"/>
    <n v="86244"/>
    <x v="1"/>
    <n v="1015"/>
    <x v="4"/>
    <s v="GBP"/>
    <n v="143.26245847176079"/>
    <n v="1426395600"/>
    <n v="84.969458128078813"/>
    <n v="1426914000"/>
    <b v="0"/>
    <b v="0"/>
    <s v="theater/plays"/>
    <x v="3"/>
    <x v="3"/>
  </r>
  <r>
    <n v="980"/>
    <s v="Huff-Johnson"/>
    <s v="Universal fault-tolerant orchestration"/>
    <n v="195200"/>
    <n v="78630"/>
    <x v="0"/>
    <n v="742"/>
    <x v="1"/>
    <s v="USD"/>
    <n v="40.281762295081968"/>
    <n v="1446181200"/>
    <n v="105.97035040431267"/>
    <n v="1446616800"/>
    <b v="1"/>
    <b v="0"/>
    <s v="publishing/nonfiction"/>
    <x v="5"/>
    <x v="9"/>
  </r>
  <r>
    <n v="981"/>
    <s v="Diaz-Little"/>
    <s v="Grass-roots executive synergy"/>
    <n v="6700"/>
    <n v="11941"/>
    <x v="1"/>
    <n v="323"/>
    <x v="1"/>
    <s v="USD"/>
    <n v="178.22388059701493"/>
    <n v="1514181600"/>
    <n v="36.969040247678016"/>
    <n v="1517032800"/>
    <b v="0"/>
    <b v="0"/>
    <s v="technology/web"/>
    <x v="2"/>
    <x v="2"/>
  </r>
  <r>
    <n v="982"/>
    <s v="Freeman-French"/>
    <s v="Multi-layered optimal application"/>
    <n v="7200"/>
    <n v="6115"/>
    <x v="0"/>
    <n v="75"/>
    <x v="1"/>
    <s v="USD"/>
    <n v="84.930555555555557"/>
    <n v="1311051600"/>
    <n v="81.533333333333331"/>
    <n v="1311224400"/>
    <b v="0"/>
    <b v="1"/>
    <s v="film &amp; video/documentary"/>
    <x v="4"/>
    <x v="4"/>
  </r>
  <r>
    <n v="983"/>
    <s v="Beck-Weber"/>
    <s v="Business-focused full-range core"/>
    <n v="129100"/>
    <n v="188404"/>
    <x v="1"/>
    <n v="2326"/>
    <x v="1"/>
    <s v="USD"/>
    <n v="145.93648334624322"/>
    <n v="1564894800"/>
    <n v="80.999140154772135"/>
    <n v="1566190800"/>
    <b v="0"/>
    <b v="0"/>
    <s v="film &amp; video/documentary"/>
    <x v="4"/>
    <x v="4"/>
  </r>
  <r>
    <n v="984"/>
    <s v="Lewis-Jacobson"/>
    <s v="Exclusive system-worthy Graphic Interface"/>
    <n v="6500"/>
    <n v="9910"/>
    <x v="1"/>
    <n v="381"/>
    <x v="1"/>
    <s v="USD"/>
    <n v="152.46153846153848"/>
    <n v="1567918800"/>
    <n v="26.010498687664043"/>
    <n v="1570165200"/>
    <b v="0"/>
    <b v="0"/>
    <s v="theater/plays"/>
    <x v="3"/>
    <x v="3"/>
  </r>
  <r>
    <n v="985"/>
    <s v="Logan-Curtis"/>
    <s v="Enhanced optimal ability"/>
    <n v="170600"/>
    <n v="114523"/>
    <x v="0"/>
    <n v="4405"/>
    <x v="1"/>
    <s v="USD"/>
    <n v="67.129542790152414"/>
    <n v="1386309600"/>
    <n v="25.998410896708286"/>
    <n v="1388556000"/>
    <b v="0"/>
    <b v="1"/>
    <s v="music/rock"/>
    <x v="1"/>
    <x v="1"/>
  </r>
  <r>
    <n v="986"/>
    <s v="Chan, Washington and Callahan"/>
    <s v="Optional zero administration neural-net"/>
    <n v="7800"/>
    <n v="3144"/>
    <x v="0"/>
    <n v="92"/>
    <x v="1"/>
    <s v="USD"/>
    <n v="40.307692307692307"/>
    <n v="1301979600"/>
    <n v="34.173913043478258"/>
    <n v="1303189200"/>
    <b v="0"/>
    <b v="0"/>
    <s v="music/rock"/>
    <x v="1"/>
    <x v="1"/>
  </r>
  <r>
    <n v="987"/>
    <s v="Wilson Group"/>
    <s v="Ameliorated foreground focus group"/>
    <n v="6200"/>
    <n v="13441"/>
    <x v="1"/>
    <n v="480"/>
    <x v="1"/>
    <s v="USD"/>
    <n v="216.79032258064518"/>
    <n v="1493269200"/>
    <n v="28.002083333333335"/>
    <n v="1494478800"/>
    <b v="0"/>
    <b v="0"/>
    <s v="film &amp; video/documentary"/>
    <x v="4"/>
    <x v="4"/>
  </r>
  <r>
    <n v="988"/>
    <s v="Gardner, Ryan and Gutierrez"/>
    <s v="Triple-buffered multi-tasking matrices"/>
    <n v="9400"/>
    <n v="4899"/>
    <x v="0"/>
    <n v="64"/>
    <x v="1"/>
    <s v="USD"/>
    <n v="52.117021276595743"/>
    <n v="1478930400"/>
    <n v="76.546875"/>
    <n v="1480744800"/>
    <b v="0"/>
    <b v="0"/>
    <s v="publishing/radio &amp; podcasts"/>
    <x v="5"/>
    <x v="15"/>
  </r>
  <r>
    <n v="989"/>
    <s v="Hernandez Inc"/>
    <s v="Versatile dedicated migration"/>
    <n v="2400"/>
    <n v="11990"/>
    <x v="1"/>
    <n v="226"/>
    <x v="1"/>
    <s v="USD"/>
    <n v="499.58333333333337"/>
    <n v="1555390800"/>
    <n v="53.053097345132741"/>
    <n v="1555822800"/>
    <b v="0"/>
    <b v="0"/>
    <s v="publishing/translations"/>
    <x v="5"/>
    <x v="18"/>
  </r>
  <r>
    <n v="990"/>
    <s v="Ortiz-Roberts"/>
    <s v="Devolved foreground customer loyalty"/>
    <n v="7800"/>
    <n v="6839"/>
    <x v="0"/>
    <n v="64"/>
    <x v="1"/>
    <s v="USD"/>
    <n v="87.679487179487182"/>
    <n v="1456984800"/>
    <n v="106.859375"/>
    <n v="1458882000"/>
    <b v="0"/>
    <b v="1"/>
    <s v="film &amp; video/drama"/>
    <x v="4"/>
    <x v="6"/>
  </r>
  <r>
    <n v="991"/>
    <s v="Ramirez LLC"/>
    <s v="Reduced reciprocal focus group"/>
    <n v="9800"/>
    <n v="11091"/>
    <x v="1"/>
    <n v="241"/>
    <x v="1"/>
    <s v="USD"/>
    <n v="113.17346938775511"/>
    <n v="1411621200"/>
    <n v="46.020746887966808"/>
    <n v="1411966800"/>
    <b v="0"/>
    <b v="1"/>
    <s v="music/rock"/>
    <x v="1"/>
    <x v="1"/>
  </r>
  <r>
    <n v="992"/>
    <s v="Morrow Inc"/>
    <s v="Networked global migration"/>
    <n v="3100"/>
    <n v="13223"/>
    <x v="1"/>
    <n v="132"/>
    <x v="1"/>
    <s v="USD"/>
    <n v="426.54838709677421"/>
    <n v="1525669200"/>
    <n v="100.17424242424242"/>
    <n v="1526878800"/>
    <b v="0"/>
    <b v="1"/>
    <s v="film &amp; video/drama"/>
    <x v="4"/>
    <x v="6"/>
  </r>
  <r>
    <n v="993"/>
    <s v="Erickson-Rogers"/>
    <s v="De-engineered even-keeled definition"/>
    <n v="9800"/>
    <n v="7608"/>
    <x v="3"/>
    <n v="75"/>
    <x v="6"/>
    <s v="EUR"/>
    <n v="77.632653061224488"/>
    <n v="1450936800"/>
    <n v="101.44"/>
    <n v="1452405600"/>
    <b v="0"/>
    <b v="1"/>
    <s v="photography/photography books"/>
    <x v="7"/>
    <x v="14"/>
  </r>
  <r>
    <n v="994"/>
    <s v="Leach, Rich and Price"/>
    <s v="Implemented bi-directional flexibility"/>
    <n v="141100"/>
    <n v="74073"/>
    <x v="0"/>
    <n v="842"/>
    <x v="1"/>
    <s v="USD"/>
    <n v="52.496810772501767"/>
    <n v="1413522000"/>
    <n v="87.972684085510693"/>
    <n v="1414040400"/>
    <b v="0"/>
    <b v="1"/>
    <s v="publishing/translations"/>
    <x v="5"/>
    <x v="18"/>
  </r>
  <r>
    <n v="995"/>
    <s v="Manning-Hamilton"/>
    <s v="Vision-oriented scalable definition"/>
    <n v="97300"/>
    <n v="153216"/>
    <x v="1"/>
    <n v="2043"/>
    <x v="1"/>
    <s v="USD"/>
    <n v="157.46762589928059"/>
    <n v="1541307600"/>
    <n v="74.995594713656388"/>
    <n v="1543816800"/>
    <b v="0"/>
    <b v="1"/>
    <s v="food/food trucks"/>
    <x v="0"/>
    <x v="0"/>
  </r>
  <r>
    <n v="996"/>
    <s v="Butler LLC"/>
    <s v="Future-proofed upward-trending migration"/>
    <n v="6600"/>
    <n v="4814"/>
    <x v="0"/>
    <n v="112"/>
    <x v="1"/>
    <s v="USD"/>
    <n v="72.939393939393938"/>
    <n v="1357106400"/>
    <n v="42.982142857142854"/>
    <n v="1359698400"/>
    <b v="0"/>
    <b v="0"/>
    <s v="theater/plays"/>
    <x v="3"/>
    <x v="3"/>
  </r>
  <r>
    <n v="997"/>
    <s v="Ball LLC"/>
    <s v="Right-sized full-range throughput"/>
    <n v="7600"/>
    <n v="4603"/>
    <x v="3"/>
    <n v="139"/>
    <x v="6"/>
    <s v="EUR"/>
    <n v="60.565789473684205"/>
    <n v="1390197600"/>
    <n v="33.115107913669064"/>
    <n v="1390629600"/>
    <b v="0"/>
    <b v="0"/>
    <s v="theater/plays"/>
    <x v="3"/>
    <x v="3"/>
  </r>
  <r>
    <n v="998"/>
    <s v="Taylor, Santiago and Flores"/>
    <s v="Polarized composite customer loyalty"/>
    <n v="66600"/>
    <n v="37823"/>
    <x v="0"/>
    <n v="374"/>
    <x v="1"/>
    <s v="USD"/>
    <n v="56.791291291291287"/>
    <n v="1265868000"/>
    <n v="101.13101604278074"/>
    <n v="1267077600"/>
    <b v="0"/>
    <b v="1"/>
    <s v="music/indie rock"/>
    <x v="1"/>
    <x v="7"/>
  </r>
  <r>
    <n v="999"/>
    <s v="Hernandez, Norton and Kelley"/>
    <s v="Expanded eco-centric policy"/>
    <n v="111100"/>
    <n v="62819"/>
    <x v="3"/>
    <n v="1122"/>
    <x v="1"/>
    <s v="USD"/>
    <n v="56.542754275427541"/>
    <n v="1467176400"/>
    <n v="55.98841354723708"/>
    <n v="1467781200"/>
    <b v="0"/>
    <b v="0"/>
    <s v="food/food trucks"/>
    <x v="0"/>
    <x v="0"/>
  </r>
  <r>
    <m/>
    <m/>
    <m/>
    <m/>
    <m/>
    <x v="4"/>
    <m/>
    <x v="7"/>
    <m/>
    <m/>
    <m/>
    <m/>
    <m/>
    <m/>
    <m/>
    <m/>
    <x v="9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s v="CA"/>
    <s v="CAD"/>
    <n v="0"/>
    <n v="1448690400"/>
    <n v="0"/>
    <n v="1450159200"/>
    <x v="0"/>
    <d v="2015-12-15T06:00:00"/>
    <b v="0"/>
    <b v="0"/>
    <s v="food/food trucks"/>
    <x v="0"/>
    <s v="food trucks"/>
  </r>
  <r>
    <n v="1"/>
    <s v="Odom Inc"/>
    <s v="Managed bottom-line architecture"/>
    <n v="1400"/>
    <n v="14560"/>
    <x v="1"/>
    <n v="158"/>
    <s v="US"/>
    <s v="USD"/>
    <n v="1040"/>
    <n v="1408424400"/>
    <n v="92.151898734177209"/>
    <n v="1408597200"/>
    <x v="1"/>
    <d v="2014-08-21T05:00:00"/>
    <b v="0"/>
    <b v="1"/>
    <s v="music/rock"/>
    <x v="1"/>
    <s v="rock"/>
  </r>
  <r>
    <n v="2"/>
    <s v="Melton, Robinson and Fritz"/>
    <s v="Function-based leadingedge pricing structure"/>
    <n v="108400"/>
    <n v="142523"/>
    <x v="1"/>
    <n v="1425"/>
    <s v="AU"/>
    <s v="AUD"/>
    <n v="131.4787822878229"/>
    <n v="1384668000"/>
    <n v="100.01614035087719"/>
    <n v="1384840800"/>
    <x v="2"/>
    <d v="2013-11-19T06:00:00"/>
    <b v="0"/>
    <b v="0"/>
    <s v="technology/web"/>
    <x v="2"/>
    <s v="web"/>
  </r>
  <r>
    <n v="3"/>
    <s v="Mcdonald, Gonzalez and Ross"/>
    <s v="Vision-oriented fresh-thinking conglomeration"/>
    <n v="4200"/>
    <n v="2477"/>
    <x v="0"/>
    <n v="24"/>
    <s v="US"/>
    <s v="USD"/>
    <n v="58.976190476190467"/>
    <n v="1565499600"/>
    <n v="103.20833333333333"/>
    <n v="1568955600"/>
    <x v="3"/>
    <d v="2019-09-20T05:00:00"/>
    <b v="0"/>
    <b v="0"/>
    <s v="music/rock"/>
    <x v="1"/>
    <s v="rock"/>
  </r>
  <r>
    <n v="4"/>
    <s v="Larson-Little"/>
    <s v="Proactive foreground core"/>
    <n v="7600"/>
    <n v="5265"/>
    <x v="0"/>
    <n v="53"/>
    <s v="US"/>
    <s v="USD"/>
    <n v="69.276315789473685"/>
    <n v="1547964000"/>
    <n v="0"/>
    <n v="1548309600"/>
    <x v="4"/>
    <d v="2019-01-24T06:00:00"/>
    <b v="0"/>
    <b v="0"/>
    <s v="theater/plays"/>
    <x v="3"/>
    <s v="plays"/>
  </r>
  <r>
    <n v="5"/>
    <s v="Harris Group"/>
    <s v="Open-source optimizing database"/>
    <n v="7600"/>
    <n v="13195"/>
    <x v="1"/>
    <n v="174"/>
    <s v="DK"/>
    <s v="DKK"/>
    <n v="173.61842105263159"/>
    <n v="1346130000"/>
    <n v="75.833333333333329"/>
    <n v="1347080400"/>
    <x v="5"/>
    <d v="2012-09-08T05:00:00"/>
    <b v="0"/>
    <b v="0"/>
    <s v="theater/plays"/>
    <x v="3"/>
    <s v="plays"/>
  </r>
  <r>
    <n v="6"/>
    <s v="Ortiz, Coleman and Mitchell"/>
    <s v="Operative upward-trending algorithm"/>
    <n v="5200"/>
    <n v="1090"/>
    <x v="0"/>
    <n v="18"/>
    <s v="GB"/>
    <s v="GBP"/>
    <n v="20.961538461538463"/>
    <n v="1505278800"/>
    <n v="60.555555555555557"/>
    <n v="1505365200"/>
    <x v="6"/>
    <d v="2017-09-14T05:00:00"/>
    <b v="0"/>
    <b v="0"/>
    <s v="film &amp; video/documentary"/>
    <x v="4"/>
    <s v="documentary"/>
  </r>
  <r>
    <n v="7"/>
    <s v="Carter-Guzman"/>
    <s v="Centralized cohesive challenge"/>
    <n v="4500"/>
    <n v="14741"/>
    <x v="1"/>
    <n v="227"/>
    <s v="DK"/>
    <s v="DKK"/>
    <n v="327.57777777777778"/>
    <n v="1439442000"/>
    <n v="64.93832599118943"/>
    <n v="1439614800"/>
    <x v="7"/>
    <d v="2015-08-15T05:00:00"/>
    <b v="0"/>
    <b v="0"/>
    <s v="theater/plays"/>
    <x v="3"/>
    <s v="plays"/>
  </r>
  <r>
    <n v="8"/>
    <s v="Nunez-Richards"/>
    <s v="Exclusive attitude-oriented intranet"/>
    <n v="110100"/>
    <n v="21946"/>
    <x v="2"/>
    <n v="708"/>
    <s v="DK"/>
    <s v="DKK"/>
    <n v="19.932788374205266"/>
    <n v="1281330000"/>
    <n v="30.997175141242938"/>
    <n v="1281502800"/>
    <x v="8"/>
    <d v="2010-08-11T05:00:00"/>
    <b v="0"/>
    <b v="0"/>
    <s v="theater/plays"/>
    <x v="3"/>
    <s v="plays"/>
  </r>
  <r>
    <n v="9"/>
    <s v="Rangel, Holt and Jones"/>
    <s v="Open-source fresh-thinking model"/>
    <n v="6200"/>
    <n v="3208"/>
    <x v="0"/>
    <n v="44"/>
    <s v="US"/>
    <s v="USD"/>
    <n v="51.741935483870968"/>
    <n v="1379566800"/>
    <n v="72.909090909090907"/>
    <n v="1383804000"/>
    <x v="9"/>
    <d v="2013-11-07T06:00:00"/>
    <b v="0"/>
    <b v="0"/>
    <s v="music/electric music"/>
    <x v="1"/>
    <s v="electric music"/>
  </r>
  <r>
    <n v="10"/>
    <s v="Green Ltd"/>
    <s v="Monitored empowering installation"/>
    <n v="5200"/>
    <n v="13838"/>
    <x v="1"/>
    <n v="220"/>
    <s v="US"/>
    <s v="USD"/>
    <n v="266.11538461538464"/>
    <n v="1281762000"/>
    <n v="62.9"/>
    <n v="1285909200"/>
    <x v="10"/>
    <d v="2010-10-01T05:00:00"/>
    <b v="0"/>
    <b v="0"/>
    <s v="film &amp; video/drama"/>
    <x v="4"/>
    <s v="drama"/>
  </r>
  <r>
    <n v="11"/>
    <s v="Perez, Johnson and Gardner"/>
    <s v="Grass-roots zero administration system engine"/>
    <n v="6300"/>
    <n v="3030"/>
    <x v="0"/>
    <n v="27"/>
    <s v="US"/>
    <s v="USD"/>
    <n v="48.095238095238095"/>
    <n v="1285045200"/>
    <n v="112.22222222222223"/>
    <n v="1285563600"/>
    <x v="11"/>
    <d v="2010-09-27T05:00:00"/>
    <b v="0"/>
    <b v="1"/>
    <s v="theater/plays"/>
    <x v="3"/>
    <s v="plays"/>
  </r>
  <r>
    <n v="12"/>
    <s v="Kim Ltd"/>
    <s v="Assimilated hybrid intranet"/>
    <n v="6300"/>
    <n v="5629"/>
    <x v="0"/>
    <n v="55"/>
    <s v="US"/>
    <s v="USD"/>
    <n v="89.349206349206341"/>
    <n v="1571720400"/>
    <n v="102.34545454545454"/>
    <n v="1572411600"/>
    <x v="12"/>
    <d v="2019-10-30T05:00:00"/>
    <b v="0"/>
    <b v="0"/>
    <s v="film &amp; video/drama"/>
    <x v="4"/>
    <s v="drama"/>
  </r>
  <r>
    <n v="13"/>
    <s v="Walker, Taylor and Coleman"/>
    <s v="Multi-tiered directional open architecture"/>
    <n v="4200"/>
    <n v="10295"/>
    <x v="1"/>
    <n v="98"/>
    <s v="US"/>
    <s v="USD"/>
    <n v="245.11904761904765"/>
    <n v="1465621200"/>
    <n v="105.05102040816327"/>
    <n v="1466658000"/>
    <x v="13"/>
    <d v="2016-06-23T05:00:00"/>
    <b v="0"/>
    <b v="0"/>
    <s v="music/indie rock"/>
    <x v="1"/>
    <s v="indie rock"/>
  </r>
  <r>
    <n v="14"/>
    <s v="Rodriguez, Rose and Stewart"/>
    <s v="Cloned directional synergy"/>
    <n v="28200"/>
    <n v="18829"/>
    <x v="0"/>
    <n v="200"/>
    <s v="US"/>
    <s v="USD"/>
    <n v="66.769503546099301"/>
    <n v="1331013600"/>
    <n v="94.144999999999996"/>
    <n v="1333342800"/>
    <x v="14"/>
    <d v="2012-04-02T05:00:00"/>
    <b v="0"/>
    <b v="0"/>
    <s v="music/indie rock"/>
    <x v="1"/>
    <s v="indie rock"/>
  </r>
  <r>
    <n v="15"/>
    <s v="Wright, Hunt and Rowe"/>
    <s v="Extended eco-centric pricing structure"/>
    <n v="81200"/>
    <n v="38414"/>
    <x v="0"/>
    <n v="452"/>
    <s v="US"/>
    <s v="USD"/>
    <n v="47.307881773399011"/>
    <n v="1575957600"/>
    <n v="84.986725663716811"/>
    <n v="1576303200"/>
    <x v="15"/>
    <d v="2019-12-14T06:00:00"/>
    <b v="0"/>
    <b v="0"/>
    <s v="technology/wearables"/>
    <x v="2"/>
    <s v="wearables"/>
  </r>
  <r>
    <n v="16"/>
    <s v="Hines Inc"/>
    <s v="Cross-platform systemic adapter"/>
    <n v="1700"/>
    <n v="11041"/>
    <x v="1"/>
    <n v="100"/>
    <s v="US"/>
    <s v="USD"/>
    <n v="649.47058823529414"/>
    <n v="1390370400"/>
    <n v="110.41"/>
    <n v="1392271200"/>
    <x v="16"/>
    <d v="2014-02-13T06:00:00"/>
    <b v="0"/>
    <b v="0"/>
    <s v="publishing/nonfiction"/>
    <x v="5"/>
    <s v="nonfiction"/>
  </r>
  <r>
    <n v="17"/>
    <s v="Cochran-Nguyen"/>
    <s v="Seamless 4thgeneration methodology"/>
    <n v="84600"/>
    <n v="134845"/>
    <x v="1"/>
    <n v="1249"/>
    <s v="US"/>
    <s v="USD"/>
    <n v="159.39125295508273"/>
    <n v="1294812000"/>
    <n v="107.96236989591674"/>
    <n v="1294898400"/>
    <x v="17"/>
    <d v="2011-01-13T06:00:00"/>
    <b v="0"/>
    <b v="0"/>
    <s v="film &amp; video/animation"/>
    <x v="4"/>
    <s v="animation"/>
  </r>
  <r>
    <n v="18"/>
    <s v="Johnson-Gould"/>
    <s v="Exclusive needs-based adapter"/>
    <n v="9100"/>
    <n v="6089"/>
    <x v="3"/>
    <n v="135"/>
    <s v="US"/>
    <s v="USD"/>
    <n v="66.912087912087912"/>
    <n v="1536382800"/>
    <n v="45.103703703703701"/>
    <n v="1537074000"/>
    <x v="18"/>
    <d v="2018-09-16T05:00:00"/>
    <b v="0"/>
    <b v="0"/>
    <s v="theater/plays"/>
    <x v="3"/>
    <s v="plays"/>
  </r>
  <r>
    <n v="19"/>
    <s v="Perez-Hess"/>
    <s v="Down-sized cohesive archive"/>
    <n v="62500"/>
    <n v="30331"/>
    <x v="0"/>
    <n v="674"/>
    <s v="US"/>
    <s v="USD"/>
    <n v="48.529600000000002"/>
    <n v="1551679200"/>
    <n v="45.001483679525222"/>
    <n v="1553490000"/>
    <x v="19"/>
    <d v="2019-03-25T05:00:00"/>
    <b v="0"/>
    <b v="1"/>
    <s v="theater/plays"/>
    <x v="3"/>
    <s v="plays"/>
  </r>
  <r>
    <n v="20"/>
    <s v="Reeves, Thompson and Richardson"/>
    <s v="Proactive composite alliance"/>
    <n v="131800"/>
    <n v="147936"/>
    <x v="1"/>
    <n v="1396"/>
    <s v="US"/>
    <s v="USD"/>
    <n v="112.24279210925646"/>
    <n v="1406523600"/>
    <n v="105.97134670487107"/>
    <n v="1406523600"/>
    <x v="20"/>
    <d v="2014-07-28T05:00:00"/>
    <b v="0"/>
    <b v="0"/>
    <s v="film &amp; video/drama"/>
    <x v="4"/>
    <s v="drama"/>
  </r>
  <r>
    <n v="21"/>
    <s v="Simmons-Reynolds"/>
    <s v="Re-engineered intangible definition"/>
    <n v="94000"/>
    <n v="38533"/>
    <x v="0"/>
    <n v="558"/>
    <s v="US"/>
    <s v="USD"/>
    <n v="40.992553191489364"/>
    <n v="1313384400"/>
    <n v="69.055555555555557"/>
    <n v="1316322000"/>
    <x v="21"/>
    <d v="2011-09-18T05:00:00"/>
    <b v="0"/>
    <b v="0"/>
    <s v="theater/plays"/>
    <x v="3"/>
    <s v="plays"/>
  </r>
  <r>
    <n v="22"/>
    <s v="Collier Inc"/>
    <s v="Enhanced dynamic definition"/>
    <n v="59100"/>
    <n v="75690"/>
    <x v="1"/>
    <n v="890"/>
    <s v="US"/>
    <s v="USD"/>
    <n v="128.07106598984771"/>
    <n v="1522731600"/>
    <n v="85.044943820224717"/>
    <n v="1524027600"/>
    <x v="22"/>
    <d v="2018-04-18T05:00:00"/>
    <b v="0"/>
    <b v="0"/>
    <s v="theater/plays"/>
    <x v="3"/>
    <s v="plays"/>
  </r>
  <r>
    <n v="23"/>
    <s v="Gray-Jenkins"/>
    <s v="Devolved next generation adapter"/>
    <n v="4500"/>
    <n v="14942"/>
    <x v="1"/>
    <n v="142"/>
    <s v="GB"/>
    <s v="GBP"/>
    <n v="332.04444444444448"/>
    <n v="1550124000"/>
    <n v="105.22535211267606"/>
    <n v="1554699600"/>
    <x v="23"/>
    <d v="2019-04-08T05:00:00"/>
    <b v="0"/>
    <b v="0"/>
    <s v="film &amp; video/documentary"/>
    <x v="4"/>
    <s v="documentary"/>
  </r>
  <r>
    <n v="24"/>
    <s v="Scott, Wilson and Martin"/>
    <s v="Cross-platform intermediate frame"/>
    <n v="92400"/>
    <n v="104257"/>
    <x v="1"/>
    <n v="2673"/>
    <s v="US"/>
    <s v="USD"/>
    <n v="112.83225108225108"/>
    <n v="1403326800"/>
    <n v="39.003741114852225"/>
    <n v="1403499600"/>
    <x v="24"/>
    <d v="2014-06-23T05:00:00"/>
    <b v="0"/>
    <b v="0"/>
    <s v="technology/wearables"/>
    <x v="2"/>
    <s v="wearables"/>
  </r>
  <r>
    <n v="25"/>
    <s v="Caldwell, Velazquez and Wilson"/>
    <s v="Monitored impactful analyzer"/>
    <n v="5500"/>
    <n v="11904"/>
    <x v="1"/>
    <n v="163"/>
    <s v="US"/>
    <s v="USD"/>
    <n v="216.43636363636364"/>
    <n v="1305694800"/>
    <n v="73.030674846625772"/>
    <n v="1307422800"/>
    <x v="25"/>
    <d v="2011-06-07T05:00:00"/>
    <b v="0"/>
    <b v="1"/>
    <s v="games/video games"/>
    <x v="6"/>
    <s v="video games"/>
  </r>
  <r>
    <n v="26"/>
    <s v="Spencer-Bates"/>
    <s v="Optional responsive customer loyalty"/>
    <n v="107500"/>
    <n v="51814"/>
    <x v="3"/>
    <n v="1480"/>
    <s v="US"/>
    <s v="USD"/>
    <n v="48.199069767441863"/>
    <n v="1533013200"/>
    <n v="35.009459459459457"/>
    <n v="1535346000"/>
    <x v="26"/>
    <d v="2018-08-27T05:00:00"/>
    <b v="0"/>
    <b v="0"/>
    <s v="theater/plays"/>
    <x v="3"/>
    <s v="plays"/>
  </r>
  <r>
    <n v="27"/>
    <s v="Best, Carr and Williams"/>
    <s v="Diverse transitional migration"/>
    <n v="2000"/>
    <n v="1599"/>
    <x v="0"/>
    <n v="15"/>
    <s v="US"/>
    <s v="USD"/>
    <n v="79.95"/>
    <n v="1443848400"/>
    <n v="106.6"/>
    <n v="1444539600"/>
    <x v="27"/>
    <d v="2015-10-11T05:00:00"/>
    <b v="0"/>
    <b v="0"/>
    <s v="music/rock"/>
    <x v="1"/>
    <s v="rock"/>
  </r>
  <r>
    <n v="28"/>
    <s v="Campbell, Brown and Powell"/>
    <s v="Synchronized global task-force"/>
    <n v="130800"/>
    <n v="137635"/>
    <x v="1"/>
    <n v="2220"/>
    <s v="US"/>
    <s v="USD"/>
    <n v="105.22553516819573"/>
    <n v="1265695200"/>
    <n v="61.997747747747745"/>
    <n v="1267682400"/>
    <x v="28"/>
    <d v="2010-03-04T06:00:00"/>
    <b v="0"/>
    <b v="1"/>
    <s v="theater/plays"/>
    <x v="3"/>
    <s v="plays"/>
  </r>
  <r>
    <n v="29"/>
    <s v="Johnson, Parker and Haynes"/>
    <s v="Focused 6thgeneration forecast"/>
    <n v="45900"/>
    <n v="150965"/>
    <x v="1"/>
    <n v="1606"/>
    <s v="CH"/>
    <s v="CHF"/>
    <n v="328.89978213507629"/>
    <n v="1532062800"/>
    <n v="94.000622665006233"/>
    <n v="1535518800"/>
    <x v="29"/>
    <d v="2018-08-29T05:00:00"/>
    <b v="0"/>
    <b v="0"/>
    <s v="film &amp; video/shorts"/>
    <x v="4"/>
    <s v="shorts"/>
  </r>
  <r>
    <n v="30"/>
    <s v="Clark-Cooke"/>
    <s v="Down-sized analyzing challenge"/>
    <n v="9000"/>
    <n v="14455"/>
    <x v="1"/>
    <n v="129"/>
    <s v="US"/>
    <s v="USD"/>
    <n v="160.61111111111111"/>
    <n v="1558674000"/>
    <n v="112.05426356589147"/>
    <n v="1559106000"/>
    <x v="30"/>
    <d v="2019-05-29T05:00:00"/>
    <b v="0"/>
    <b v="0"/>
    <s v="film &amp; video/animation"/>
    <x v="4"/>
    <s v="animation"/>
  </r>
  <r>
    <n v="31"/>
    <s v="Schroeder Ltd"/>
    <s v="Progressive needs-based focus group"/>
    <n v="3500"/>
    <n v="10850"/>
    <x v="1"/>
    <n v="226"/>
    <s v="GB"/>
    <s v="GBP"/>
    <n v="310"/>
    <n v="1451973600"/>
    <n v="48.008849557522126"/>
    <n v="1454392800"/>
    <x v="31"/>
    <d v="2016-02-02T06:00:00"/>
    <b v="0"/>
    <b v="0"/>
    <s v="games/video games"/>
    <x v="6"/>
    <s v="video games"/>
  </r>
  <r>
    <n v="32"/>
    <s v="Jackson PLC"/>
    <s v="Ergonomic 6thgeneration success"/>
    <n v="101000"/>
    <n v="87676"/>
    <x v="0"/>
    <n v="2307"/>
    <s v="IT"/>
    <s v="EUR"/>
    <n v="86.807920792079202"/>
    <n v="1515564000"/>
    <n v="38.004334633723452"/>
    <n v="1517896800"/>
    <x v="32"/>
    <d v="2018-02-06T06:00:00"/>
    <b v="0"/>
    <b v="0"/>
    <s v="film &amp; video/documentary"/>
    <x v="4"/>
    <s v="documentary"/>
  </r>
  <r>
    <n v="33"/>
    <s v="Blair, Collins and Carter"/>
    <s v="Exclusive interactive approach"/>
    <n v="50200"/>
    <n v="189666"/>
    <x v="1"/>
    <n v="5419"/>
    <s v="US"/>
    <s v="USD"/>
    <n v="377.82071713147411"/>
    <n v="1412485200"/>
    <n v="35.000184535892231"/>
    <n v="1415685600"/>
    <x v="33"/>
    <d v="2014-11-11T06:00:00"/>
    <b v="0"/>
    <b v="0"/>
    <s v="theater/plays"/>
    <x v="3"/>
    <s v="plays"/>
  </r>
  <r>
    <n v="34"/>
    <s v="Maldonado and Sons"/>
    <s v="Reverse-engineered asynchronous archive"/>
    <n v="9300"/>
    <n v="14025"/>
    <x v="1"/>
    <n v="165"/>
    <s v="US"/>
    <s v="USD"/>
    <n v="150.80645161290323"/>
    <n v="1490245200"/>
    <n v="85"/>
    <n v="1490677200"/>
    <x v="34"/>
    <d v="2017-03-28T05:00:00"/>
    <b v="0"/>
    <b v="0"/>
    <s v="film &amp; video/documentary"/>
    <x v="4"/>
    <s v="documentary"/>
  </r>
  <r>
    <n v="35"/>
    <s v="Mitchell and Sons"/>
    <s v="Synergized intangible challenge"/>
    <n v="125500"/>
    <n v="188628"/>
    <x v="1"/>
    <n v="1965"/>
    <s v="DK"/>
    <s v="DKK"/>
    <n v="150.30119521912351"/>
    <n v="1547877600"/>
    <n v="95.993893129770996"/>
    <n v="1551506400"/>
    <x v="35"/>
    <d v="2019-03-02T06:00:00"/>
    <b v="0"/>
    <b v="1"/>
    <s v="film &amp; video/drama"/>
    <x v="4"/>
    <s v="drama"/>
  </r>
  <r>
    <n v="36"/>
    <s v="Jackson-Lewis"/>
    <s v="Monitored multi-state encryption"/>
    <n v="700"/>
    <n v="1101"/>
    <x v="1"/>
    <n v="16"/>
    <s v="US"/>
    <s v="USD"/>
    <n v="157.28571428571431"/>
    <n v="1298700000"/>
    <n v="68.8125"/>
    <n v="1300856400"/>
    <x v="36"/>
    <d v="2011-03-23T05:00:00"/>
    <b v="0"/>
    <b v="0"/>
    <s v="theater/plays"/>
    <x v="3"/>
    <s v="plays"/>
  </r>
  <r>
    <n v="37"/>
    <s v="Black, Armstrong and Anderson"/>
    <s v="Profound attitude-oriented functionalities"/>
    <n v="8100"/>
    <n v="11339"/>
    <x v="1"/>
    <n v="107"/>
    <s v="US"/>
    <s v="USD"/>
    <n v="139.98765432098764"/>
    <n v="1570338000"/>
    <n v="105.97196261682242"/>
    <n v="1573192800"/>
    <x v="37"/>
    <d v="2019-11-08T06:00:00"/>
    <b v="0"/>
    <b v="1"/>
    <s v="publishing/fiction"/>
    <x v="5"/>
    <s v="fiction"/>
  </r>
  <r>
    <n v="38"/>
    <s v="Maldonado-Gonzalez"/>
    <s v="Digitized client-driven database"/>
    <n v="3100"/>
    <n v="10085"/>
    <x v="1"/>
    <n v="134"/>
    <s v="US"/>
    <s v="USD"/>
    <n v="325.32258064516128"/>
    <n v="1287378000"/>
    <n v="75.261194029850742"/>
    <n v="1287810000"/>
    <x v="38"/>
    <d v="2010-10-23T05:00:00"/>
    <b v="0"/>
    <b v="0"/>
    <s v="photography/photography books"/>
    <x v="7"/>
    <s v="photography books"/>
  </r>
  <r>
    <n v="39"/>
    <s v="Kim-Rice"/>
    <s v="Organized bi-directional function"/>
    <n v="9900"/>
    <n v="5027"/>
    <x v="0"/>
    <n v="88"/>
    <s v="DK"/>
    <s v="DKK"/>
    <n v="50.777777777777779"/>
    <n v="1361772000"/>
    <n v="57.125"/>
    <n v="1362978000"/>
    <x v="39"/>
    <d v="2013-03-11T05:00:00"/>
    <b v="0"/>
    <b v="0"/>
    <s v="theater/plays"/>
    <x v="3"/>
    <s v="plays"/>
  </r>
  <r>
    <n v="40"/>
    <s v="Garcia, Garcia and Lopez"/>
    <s v="Reduced stable middleware"/>
    <n v="8800"/>
    <n v="14878"/>
    <x v="1"/>
    <n v="198"/>
    <s v="US"/>
    <s v="USD"/>
    <n v="169.06818181818181"/>
    <n v="1275714000"/>
    <n v="75.141414141414145"/>
    <n v="1277355600"/>
    <x v="40"/>
    <d v="2010-06-24T05:00:00"/>
    <b v="0"/>
    <b v="1"/>
    <s v="technology/wearables"/>
    <x v="2"/>
    <s v="wearables"/>
  </r>
  <r>
    <n v="41"/>
    <s v="Watts Group"/>
    <s v="Universal 5thgeneration neural-net"/>
    <n v="5600"/>
    <n v="11924"/>
    <x v="1"/>
    <n v="111"/>
    <s v="IT"/>
    <s v="EUR"/>
    <n v="212.92857142857144"/>
    <n v="1346734800"/>
    <n v="107.42342342342343"/>
    <n v="1348981200"/>
    <x v="41"/>
    <d v="2012-09-30T05:00:00"/>
    <b v="0"/>
    <b v="1"/>
    <s v="music/rock"/>
    <x v="1"/>
    <s v="rock"/>
  </r>
  <r>
    <n v="42"/>
    <s v="Werner-Bryant"/>
    <s v="Virtual uniform frame"/>
    <n v="1800"/>
    <n v="7991"/>
    <x v="1"/>
    <n v="222"/>
    <s v="US"/>
    <s v="USD"/>
    <n v="443.94444444444446"/>
    <n v="1309755600"/>
    <n v="35.995495495495497"/>
    <n v="1310533200"/>
    <x v="42"/>
    <d v="2011-07-13T05:00:00"/>
    <b v="0"/>
    <b v="0"/>
    <s v="food/food trucks"/>
    <x v="0"/>
    <s v="food trucks"/>
  </r>
  <r>
    <n v="43"/>
    <s v="Schmitt-Mendoza"/>
    <s v="Profound explicit paradigm"/>
    <n v="90200"/>
    <n v="167717"/>
    <x v="1"/>
    <n v="6212"/>
    <s v="US"/>
    <s v="USD"/>
    <n v="185.9390243902439"/>
    <n v="1406178000"/>
    <n v="26.998873148744366"/>
    <n v="1407560400"/>
    <x v="43"/>
    <d v="2014-08-09T05:00:00"/>
    <b v="0"/>
    <b v="0"/>
    <s v="publishing/radio &amp; podcasts"/>
    <x v="5"/>
    <s v="radio &amp; podcasts"/>
  </r>
  <r>
    <n v="44"/>
    <s v="Reid-Mccullough"/>
    <s v="Visionary real-time groupware"/>
    <n v="1600"/>
    <n v="10541"/>
    <x v="1"/>
    <n v="98"/>
    <s v="DK"/>
    <s v="DKK"/>
    <n v="658.8125"/>
    <n v="1552798800"/>
    <n v="107.56122448979592"/>
    <n v="1552885200"/>
    <x v="44"/>
    <d v="2019-03-18T05:00:00"/>
    <b v="0"/>
    <b v="0"/>
    <s v="publishing/fiction"/>
    <x v="5"/>
    <s v="fiction"/>
  </r>
  <r>
    <n v="45"/>
    <s v="Woods-Clark"/>
    <s v="Networked tertiary Graphical User Interface"/>
    <n v="9500"/>
    <n v="4530"/>
    <x v="0"/>
    <n v="48"/>
    <s v="US"/>
    <s v="USD"/>
    <n v="47.684210526315788"/>
    <n v="1478062800"/>
    <n v="94.375"/>
    <n v="1479362400"/>
    <x v="45"/>
    <d v="2016-11-17T06:00:00"/>
    <b v="0"/>
    <b v="1"/>
    <s v="theater/plays"/>
    <x v="3"/>
    <s v="plays"/>
  </r>
  <r>
    <n v="46"/>
    <s v="Vaughn, Hunt and Caldwell"/>
    <s v="Virtual grid-enabled task-force"/>
    <n v="3700"/>
    <n v="4247"/>
    <x v="1"/>
    <n v="92"/>
    <s v="US"/>
    <s v="USD"/>
    <n v="114.78378378378378"/>
    <n v="1278565200"/>
    <n v="46.163043478260867"/>
    <n v="1280552400"/>
    <x v="46"/>
    <d v="2010-07-31T05:00:00"/>
    <b v="0"/>
    <b v="0"/>
    <s v="music/rock"/>
    <x v="1"/>
    <s v="rock"/>
  </r>
  <r>
    <n v="47"/>
    <s v="Bennett and Sons"/>
    <s v="Function-based multi-state software"/>
    <n v="1500"/>
    <n v="7129"/>
    <x v="1"/>
    <n v="149"/>
    <s v="US"/>
    <s v="USD"/>
    <n v="475.26666666666665"/>
    <n v="1396069200"/>
    <n v="47.845637583892618"/>
    <n v="1398661200"/>
    <x v="47"/>
    <d v="2014-04-28T05:00:00"/>
    <b v="0"/>
    <b v="0"/>
    <s v="theater/plays"/>
    <x v="3"/>
    <s v="plays"/>
  </r>
  <r>
    <n v="48"/>
    <s v="Lamb Inc"/>
    <s v="Optimized leadingedge concept"/>
    <n v="33300"/>
    <n v="128862"/>
    <x v="1"/>
    <n v="2431"/>
    <s v="US"/>
    <s v="USD"/>
    <n v="386.97297297297297"/>
    <n v="1435208400"/>
    <n v="53.007815713698065"/>
    <n v="1436245200"/>
    <x v="48"/>
    <d v="2015-07-07T05:00:00"/>
    <b v="0"/>
    <b v="0"/>
    <s v="theater/plays"/>
    <x v="3"/>
    <s v="plays"/>
  </r>
  <r>
    <n v="49"/>
    <s v="Casey-Kelly"/>
    <s v="Sharable holistic interface"/>
    <n v="7200"/>
    <n v="13653"/>
    <x v="1"/>
    <n v="303"/>
    <s v="US"/>
    <s v="USD"/>
    <n v="189.625"/>
    <n v="1571547600"/>
    <n v="45.059405940594061"/>
    <n v="1575439200"/>
    <x v="49"/>
    <d v="2019-12-04T06:00:00"/>
    <b v="0"/>
    <b v="0"/>
    <s v="music/rock"/>
    <x v="1"/>
    <s v="rock"/>
  </r>
  <r>
    <n v="50"/>
    <s v="Jones, Taylor and Moore"/>
    <s v="Down-sized system-worthy secured line"/>
    <n v="100"/>
    <n v="2"/>
    <x v="0"/>
    <n v="1"/>
    <s v="IT"/>
    <s v="EUR"/>
    <n v="2"/>
    <n v="1375333200"/>
    <n v="2"/>
    <n v="1377752400"/>
    <x v="50"/>
    <d v="2013-08-29T05:00:00"/>
    <b v="0"/>
    <b v="0"/>
    <s v="music/metal"/>
    <x v="1"/>
    <s v="metal"/>
  </r>
  <r>
    <n v="51"/>
    <s v="Bradshaw, Gill and Donovan"/>
    <s v="Inverse secondary infrastructure"/>
    <n v="158100"/>
    <n v="145243"/>
    <x v="0"/>
    <n v="1467"/>
    <s v="GB"/>
    <s v="GBP"/>
    <n v="91.867805186590772"/>
    <n v="1332824400"/>
    <n v="99.006816632583508"/>
    <n v="1334206800"/>
    <x v="51"/>
    <d v="2012-04-12T05:00:00"/>
    <b v="0"/>
    <b v="1"/>
    <s v="technology/wearables"/>
    <x v="2"/>
    <s v="wearables"/>
  </r>
  <r>
    <n v="52"/>
    <s v="Hernandez, Rodriguez and Clark"/>
    <s v="Organic foreground leverage"/>
    <n v="7200"/>
    <n v="2459"/>
    <x v="0"/>
    <n v="75"/>
    <s v="US"/>
    <s v="USD"/>
    <n v="34.152777777777779"/>
    <n v="1284526800"/>
    <n v="32.786666666666669"/>
    <n v="1284872400"/>
    <x v="52"/>
    <d v="2010-09-19T05:00:00"/>
    <b v="0"/>
    <b v="0"/>
    <s v="theater/plays"/>
    <x v="3"/>
    <s v="plays"/>
  </r>
  <r>
    <n v="53"/>
    <s v="Smith-Jones"/>
    <s v="Reverse-engineered static concept"/>
    <n v="8800"/>
    <n v="12356"/>
    <x v="1"/>
    <n v="209"/>
    <s v="US"/>
    <s v="USD"/>
    <n v="140.40909090909091"/>
    <n v="1400562000"/>
    <n v="59.119617224880386"/>
    <n v="1403931600"/>
    <x v="53"/>
    <d v="2014-06-28T05:00:00"/>
    <b v="0"/>
    <b v="0"/>
    <s v="film &amp; video/drama"/>
    <x v="4"/>
    <s v="drama"/>
  </r>
  <r>
    <n v="54"/>
    <s v="Roy PLC"/>
    <s v="Multi-channeled neutral customer loyalty"/>
    <n v="6000"/>
    <n v="5392"/>
    <x v="0"/>
    <n v="120"/>
    <s v="US"/>
    <s v="USD"/>
    <n v="89.86666666666666"/>
    <n v="1520748000"/>
    <n v="44.93333333333333"/>
    <n v="1521262800"/>
    <x v="54"/>
    <d v="2018-03-17T05:00:00"/>
    <b v="0"/>
    <b v="0"/>
    <s v="technology/wearables"/>
    <x v="2"/>
    <s v="wearables"/>
  </r>
  <r>
    <n v="55"/>
    <s v="Wright, Brooks and Villarreal"/>
    <s v="Reverse-engineered bifurcated strategy"/>
    <n v="6600"/>
    <n v="11746"/>
    <x v="1"/>
    <n v="131"/>
    <s v="US"/>
    <s v="USD"/>
    <n v="177.96969696969697"/>
    <n v="1532926800"/>
    <n v="89.664122137404576"/>
    <n v="1533358800"/>
    <x v="55"/>
    <d v="2018-08-04T05:00:00"/>
    <b v="0"/>
    <b v="0"/>
    <s v="music/jazz"/>
    <x v="1"/>
    <s v="jazz"/>
  </r>
  <r>
    <n v="56"/>
    <s v="Flores, Miller and Johnson"/>
    <s v="Horizontal context-sensitive knowledge user"/>
    <n v="8000"/>
    <n v="11493"/>
    <x v="1"/>
    <n v="164"/>
    <s v="US"/>
    <s v="USD"/>
    <n v="143.66249999999999"/>
    <n v="1420869600"/>
    <n v="70.079268292682926"/>
    <n v="1421474400"/>
    <x v="56"/>
    <d v="2015-01-17T06:00:00"/>
    <b v="0"/>
    <b v="0"/>
    <s v="technology/wearables"/>
    <x v="2"/>
    <s v="wearables"/>
  </r>
  <r>
    <n v="57"/>
    <s v="Bridges, Freeman and Kim"/>
    <s v="Cross-group multi-state task-force"/>
    <n v="2900"/>
    <n v="6243"/>
    <x v="1"/>
    <n v="201"/>
    <s v="US"/>
    <s v="USD"/>
    <n v="215.27586206896552"/>
    <n v="1504242000"/>
    <n v="31.059701492537314"/>
    <n v="1505278800"/>
    <x v="57"/>
    <d v="2017-09-13T05:00:00"/>
    <b v="0"/>
    <b v="0"/>
    <s v="games/video games"/>
    <x v="6"/>
    <s v="video games"/>
  </r>
  <r>
    <n v="58"/>
    <s v="Anderson-Perez"/>
    <s v="Expanded 3rdgeneration strategy"/>
    <n v="2700"/>
    <n v="6132"/>
    <x v="1"/>
    <n v="211"/>
    <s v="US"/>
    <s v="USD"/>
    <n v="227.11111111111114"/>
    <n v="1442811600"/>
    <n v="29.061611374407583"/>
    <n v="1443934800"/>
    <x v="58"/>
    <d v="2015-10-04T05:00:00"/>
    <b v="0"/>
    <b v="0"/>
    <s v="theater/plays"/>
    <x v="3"/>
    <s v="plays"/>
  </r>
  <r>
    <n v="59"/>
    <s v="Wright, Fox and Marks"/>
    <s v="Assimilated real-time support"/>
    <n v="1400"/>
    <n v="3851"/>
    <x v="1"/>
    <n v="128"/>
    <s v="US"/>
    <s v="USD"/>
    <n v="275.07142857142861"/>
    <n v="1497243600"/>
    <n v="30.0859375"/>
    <n v="1498539600"/>
    <x v="59"/>
    <d v="2017-06-27T05:00:00"/>
    <b v="0"/>
    <b v="1"/>
    <s v="theater/plays"/>
    <x v="3"/>
    <s v="plays"/>
  </r>
  <r>
    <n v="60"/>
    <s v="Crawford-Peters"/>
    <s v="User-centric regional database"/>
    <n v="94200"/>
    <n v="135997"/>
    <x v="1"/>
    <n v="1600"/>
    <s v="CA"/>
    <s v="CAD"/>
    <n v="144.37048832271762"/>
    <n v="1342501200"/>
    <n v="84.998125000000002"/>
    <n v="1342760400"/>
    <x v="60"/>
    <d v="2012-07-20T05:00:00"/>
    <b v="0"/>
    <b v="0"/>
    <s v="theater/plays"/>
    <x v="3"/>
    <s v="plays"/>
  </r>
  <r>
    <n v="61"/>
    <s v="Romero-Hoffman"/>
    <s v="Open-source zero administration complexity"/>
    <n v="199200"/>
    <n v="184750"/>
    <x v="0"/>
    <n v="2253"/>
    <s v="CA"/>
    <s v="CAD"/>
    <n v="92.74598393574297"/>
    <n v="1298268000"/>
    <n v="82.001775410563695"/>
    <n v="1301720400"/>
    <x v="61"/>
    <d v="2011-04-02T05:00:00"/>
    <b v="0"/>
    <b v="0"/>
    <s v="theater/plays"/>
    <x v="3"/>
    <s v="plays"/>
  </r>
  <r>
    <n v="62"/>
    <s v="Sparks-West"/>
    <s v="Organized incremental standardization"/>
    <n v="2000"/>
    <n v="14452"/>
    <x v="1"/>
    <n v="249"/>
    <s v="US"/>
    <s v="USD"/>
    <n v="722.6"/>
    <n v="1433480400"/>
    <n v="58.040160642570278"/>
    <n v="1433566800"/>
    <x v="62"/>
    <d v="2015-06-06T05:00:00"/>
    <b v="0"/>
    <b v="0"/>
    <s v="technology/web"/>
    <x v="2"/>
    <s v="web"/>
  </r>
  <r>
    <n v="63"/>
    <s v="Baker, Morgan and Brown"/>
    <s v="Assimilated didactic open system"/>
    <n v="4700"/>
    <n v="557"/>
    <x v="0"/>
    <n v="5"/>
    <s v="US"/>
    <s v="USD"/>
    <n v="11.851063829787234"/>
    <n v="1493355600"/>
    <n v="111.4"/>
    <n v="1493874000"/>
    <x v="63"/>
    <d v="2017-05-04T05:00:00"/>
    <b v="0"/>
    <b v="0"/>
    <s v="theater/plays"/>
    <x v="3"/>
    <s v="plays"/>
  </r>
  <r>
    <n v="64"/>
    <s v="Mosley-Gilbert"/>
    <s v="Vision-oriented logistical intranet"/>
    <n v="2800"/>
    <n v="2734"/>
    <x v="0"/>
    <n v="38"/>
    <s v="US"/>
    <s v="USD"/>
    <n v="97.642857142857139"/>
    <n v="1530507600"/>
    <n v="71.94736842105263"/>
    <n v="1531803600"/>
    <x v="64"/>
    <d v="2018-07-17T05:00:00"/>
    <b v="0"/>
    <b v="1"/>
    <s v="technology/web"/>
    <x v="2"/>
    <s v="web"/>
  </r>
  <r>
    <n v="65"/>
    <s v="Berry-Boyer"/>
    <s v="Mandatory incremental projection"/>
    <n v="6100"/>
    <n v="14405"/>
    <x v="1"/>
    <n v="236"/>
    <s v="US"/>
    <s v="USD"/>
    <n v="236.14754098360655"/>
    <n v="1296108000"/>
    <n v="61.038135593220339"/>
    <n v="1296712800"/>
    <x v="65"/>
    <d v="2011-02-03T06:00:00"/>
    <b v="0"/>
    <b v="0"/>
    <s v="theater/plays"/>
    <x v="3"/>
    <s v="plays"/>
  </r>
  <r>
    <n v="66"/>
    <s v="Sanders-Allen"/>
    <s v="Grass-roots needs-based encryption"/>
    <n v="2900"/>
    <n v="1307"/>
    <x v="0"/>
    <n v="12"/>
    <s v="US"/>
    <s v="USD"/>
    <n v="45.068965517241381"/>
    <n v="1428469200"/>
    <n v="108.91666666666667"/>
    <n v="1428901200"/>
    <x v="66"/>
    <d v="2015-04-13T05:00:00"/>
    <b v="0"/>
    <b v="1"/>
    <s v="theater/plays"/>
    <x v="3"/>
    <s v="plays"/>
  </r>
  <r>
    <n v="67"/>
    <s v="Lopez Inc"/>
    <s v="Team-oriented 6thgeneration middleware"/>
    <n v="72600"/>
    <n v="117892"/>
    <x v="1"/>
    <n v="4065"/>
    <s v="GB"/>
    <s v="GBP"/>
    <n v="162.38567493112947"/>
    <n v="1264399200"/>
    <n v="29.001722017220171"/>
    <n v="1264831200"/>
    <x v="67"/>
    <d v="2010-01-30T06:00:00"/>
    <b v="0"/>
    <b v="1"/>
    <s v="technology/wearables"/>
    <x v="2"/>
    <s v="wearables"/>
  </r>
  <r>
    <n v="68"/>
    <s v="Moreno-Turner"/>
    <s v="Inverse multi-tasking installation"/>
    <n v="5700"/>
    <n v="14508"/>
    <x v="1"/>
    <n v="246"/>
    <s v="IT"/>
    <s v="EUR"/>
    <n v="254.52631578947367"/>
    <n v="1501131600"/>
    <n v="58.975609756097562"/>
    <n v="1505192400"/>
    <x v="68"/>
    <d v="2017-09-12T05:00:00"/>
    <b v="0"/>
    <b v="1"/>
    <s v="theater/plays"/>
    <x v="3"/>
    <s v="plays"/>
  </r>
  <r>
    <n v="69"/>
    <s v="Jones-Watson"/>
    <s v="Switchable disintermediate moderator"/>
    <n v="7900"/>
    <n v="1901"/>
    <x v="3"/>
    <n v="17"/>
    <s v="US"/>
    <s v="USD"/>
    <n v="24.063291139240505"/>
    <n v="1292738400"/>
    <n v="111.82352941176471"/>
    <n v="1295676000"/>
    <x v="69"/>
    <d v="2011-01-22T06:00:00"/>
    <b v="0"/>
    <b v="0"/>
    <s v="theater/plays"/>
    <x v="3"/>
    <s v="plays"/>
  </r>
  <r>
    <n v="70"/>
    <s v="Barker Inc"/>
    <s v="Re-engineered 24/7 task-force"/>
    <n v="128000"/>
    <n v="158389"/>
    <x v="1"/>
    <n v="2475"/>
    <s v="IT"/>
    <s v="EUR"/>
    <n v="123.74140625000001"/>
    <n v="1288674000"/>
    <n v="63.995555555555555"/>
    <n v="1292911200"/>
    <x v="70"/>
    <d v="2010-12-21T06:00:00"/>
    <b v="0"/>
    <b v="1"/>
    <s v="theater/plays"/>
    <x v="3"/>
    <s v="plays"/>
  </r>
  <r>
    <n v="71"/>
    <s v="Tate, Bass and House"/>
    <s v="Organic object-oriented budgetary management"/>
    <n v="6000"/>
    <n v="6484"/>
    <x v="1"/>
    <n v="76"/>
    <s v="US"/>
    <s v="USD"/>
    <n v="108.06666666666666"/>
    <n v="1575093600"/>
    <n v="85.315789473684205"/>
    <n v="1575439200"/>
    <x v="71"/>
    <d v="2019-12-04T06:00:00"/>
    <b v="0"/>
    <b v="0"/>
    <s v="theater/plays"/>
    <x v="3"/>
    <s v="plays"/>
  </r>
  <r>
    <n v="72"/>
    <s v="Hampton, Lewis and Ray"/>
    <s v="Seamless coherent parallelism"/>
    <n v="600"/>
    <n v="4022"/>
    <x v="1"/>
    <n v="54"/>
    <s v="US"/>
    <s v="USD"/>
    <n v="670.33333333333326"/>
    <n v="1435726800"/>
    <n v="74.481481481481481"/>
    <n v="1438837200"/>
    <x v="72"/>
    <d v="2015-08-06T05:00:00"/>
    <b v="0"/>
    <b v="0"/>
    <s v="film &amp; video/animation"/>
    <x v="4"/>
    <s v="animation"/>
  </r>
  <r>
    <n v="73"/>
    <s v="Collins-Goodman"/>
    <s v="Cross-platform even-keeled initiative"/>
    <n v="1400"/>
    <n v="9253"/>
    <x v="1"/>
    <n v="88"/>
    <s v="US"/>
    <s v="USD"/>
    <n v="660.92857142857144"/>
    <n v="1480226400"/>
    <n v="105.14772727272727"/>
    <n v="1480485600"/>
    <x v="73"/>
    <d v="2016-11-30T06:00:00"/>
    <b v="0"/>
    <b v="0"/>
    <s v="music/jazz"/>
    <x v="1"/>
    <s v="jazz"/>
  </r>
  <r>
    <n v="74"/>
    <s v="Davis-Michael"/>
    <s v="Progressive tertiary framework"/>
    <n v="3900"/>
    <n v="4776"/>
    <x v="1"/>
    <n v="85"/>
    <s v="GB"/>
    <s v="GBP"/>
    <n v="122.46153846153847"/>
    <n v="1459054800"/>
    <n v="56.188235294117646"/>
    <n v="1459141200"/>
    <x v="74"/>
    <d v="2016-03-28T05:00:00"/>
    <b v="0"/>
    <b v="0"/>
    <s v="music/metal"/>
    <x v="1"/>
    <s v="metal"/>
  </r>
  <r>
    <n v="75"/>
    <s v="White, Torres and Bishop"/>
    <s v="Multi-layered dynamic protocol"/>
    <n v="9700"/>
    <n v="14606"/>
    <x v="1"/>
    <n v="170"/>
    <s v="US"/>
    <s v="USD"/>
    <n v="150.57731958762886"/>
    <n v="1531630800"/>
    <n v="85.917647058823533"/>
    <n v="1532322000"/>
    <x v="75"/>
    <d v="2018-07-23T05:00:00"/>
    <b v="0"/>
    <b v="0"/>
    <s v="photography/photography books"/>
    <x v="7"/>
    <s v="photography books"/>
  </r>
  <r>
    <n v="76"/>
    <s v="Martin, Conway and Larsen"/>
    <s v="Horizontal next generation function"/>
    <n v="122900"/>
    <n v="95993"/>
    <x v="0"/>
    <n v="1684"/>
    <s v="US"/>
    <s v="USD"/>
    <n v="78.106590724165997"/>
    <n v="1421992800"/>
    <n v="57.00296912114014"/>
    <n v="1426222800"/>
    <x v="76"/>
    <d v="2015-03-13T05:00:00"/>
    <b v="1"/>
    <b v="1"/>
    <s v="theater/plays"/>
    <x v="3"/>
    <s v="plays"/>
  </r>
  <r>
    <n v="77"/>
    <s v="Acevedo-Huffman"/>
    <s v="Pre-emptive impactful model"/>
    <n v="9500"/>
    <n v="4460"/>
    <x v="0"/>
    <n v="56"/>
    <s v="US"/>
    <s v="USD"/>
    <n v="46.94736842105263"/>
    <n v="1285563600"/>
    <n v="79.642857142857139"/>
    <n v="1286773200"/>
    <x v="77"/>
    <d v="2010-10-11T05:00:00"/>
    <b v="0"/>
    <b v="1"/>
    <s v="film &amp; video/animation"/>
    <x v="4"/>
    <s v="animation"/>
  </r>
  <r>
    <n v="78"/>
    <s v="Montgomery, Larson and Spencer"/>
    <s v="User-centric bifurcated knowledge user"/>
    <n v="4500"/>
    <n v="13536"/>
    <x v="1"/>
    <n v="330"/>
    <s v="US"/>
    <s v="USD"/>
    <n v="300.8"/>
    <n v="1523854800"/>
    <n v="41.018181818181816"/>
    <n v="1523941200"/>
    <x v="78"/>
    <d v="2018-04-17T05:00:00"/>
    <b v="0"/>
    <b v="0"/>
    <s v="publishing/translations"/>
    <x v="5"/>
    <s v="translations"/>
  </r>
  <r>
    <n v="79"/>
    <s v="Soto LLC"/>
    <s v="Triple-buffered reciprocal project"/>
    <n v="57800"/>
    <n v="40228"/>
    <x v="0"/>
    <n v="838"/>
    <s v="US"/>
    <s v="USD"/>
    <n v="69.598615916955026"/>
    <n v="1529125200"/>
    <n v="48.004773269689736"/>
    <n v="1529557200"/>
    <x v="79"/>
    <d v="2018-06-21T05:00:00"/>
    <b v="0"/>
    <b v="0"/>
    <s v="theater/plays"/>
    <x v="3"/>
    <s v="plays"/>
  </r>
  <r>
    <n v="80"/>
    <s v="Sutton, Barrett and Tucker"/>
    <s v="Cross-platform needs-based approach"/>
    <n v="1100"/>
    <n v="7012"/>
    <x v="1"/>
    <n v="127"/>
    <s v="US"/>
    <s v="USD"/>
    <n v="637.4545454545455"/>
    <n v="1503982800"/>
    <n v="55.212598425196852"/>
    <n v="1506574800"/>
    <x v="80"/>
    <d v="2017-09-28T05:00:00"/>
    <b v="0"/>
    <b v="0"/>
    <s v="games/video games"/>
    <x v="6"/>
    <s v="video games"/>
  </r>
  <r>
    <n v="81"/>
    <s v="Gomez, Bailey and Flores"/>
    <s v="User-friendly static contingency"/>
    <n v="16800"/>
    <n v="37857"/>
    <x v="1"/>
    <n v="411"/>
    <s v="US"/>
    <s v="USD"/>
    <n v="225.33928571428569"/>
    <n v="1511416800"/>
    <n v="92.109489051094897"/>
    <n v="1513576800"/>
    <x v="81"/>
    <d v="2017-12-18T06:00:00"/>
    <b v="0"/>
    <b v="0"/>
    <s v="music/rock"/>
    <x v="1"/>
    <s v="rock"/>
  </r>
  <r>
    <n v="82"/>
    <s v="Porter-George"/>
    <s v="Reactive content-based framework"/>
    <n v="1000"/>
    <n v="14973"/>
    <x v="1"/>
    <n v="180"/>
    <s v="GB"/>
    <s v="GBP"/>
    <n v="1497.3000000000002"/>
    <n v="1547704800"/>
    <n v="83.183333333333337"/>
    <n v="1548309600"/>
    <x v="82"/>
    <d v="2019-01-24T06:00:00"/>
    <b v="0"/>
    <b v="1"/>
    <s v="games/video games"/>
    <x v="6"/>
    <s v="video games"/>
  </r>
  <r>
    <n v="83"/>
    <s v="Fitzgerald PLC"/>
    <s v="Realigned user-facing concept"/>
    <n v="106400"/>
    <n v="39996"/>
    <x v="0"/>
    <n v="1000"/>
    <s v="US"/>
    <s v="USD"/>
    <n v="37.590225563909776"/>
    <n v="1469682000"/>
    <n v="39.996000000000002"/>
    <n v="1471582800"/>
    <x v="83"/>
    <d v="2016-08-19T05:00:00"/>
    <b v="0"/>
    <b v="0"/>
    <s v="music/electric music"/>
    <x v="1"/>
    <s v="electric music"/>
  </r>
  <r>
    <n v="84"/>
    <s v="Cisneros-Burton"/>
    <s v="Public-key zero tolerance orchestration"/>
    <n v="31400"/>
    <n v="41564"/>
    <x v="1"/>
    <n v="374"/>
    <s v="US"/>
    <s v="USD"/>
    <n v="132.36942675159236"/>
    <n v="1343451600"/>
    <n v="111.1336898395722"/>
    <n v="1344315600"/>
    <x v="84"/>
    <d v="2012-08-07T05:00:00"/>
    <b v="0"/>
    <b v="0"/>
    <s v="technology/wearables"/>
    <x v="2"/>
    <s v="wearables"/>
  </r>
  <r>
    <n v="85"/>
    <s v="Hill, Lawson and Wilkinson"/>
    <s v="Multi-tiered eco-centric architecture"/>
    <n v="4900"/>
    <n v="6430"/>
    <x v="1"/>
    <n v="71"/>
    <s v="AU"/>
    <s v="AUD"/>
    <n v="131.22448979591837"/>
    <n v="1315717200"/>
    <n v="90.563380281690144"/>
    <n v="1316408400"/>
    <x v="85"/>
    <d v="2011-09-19T05:00:00"/>
    <b v="0"/>
    <b v="0"/>
    <s v="music/indie rock"/>
    <x v="1"/>
    <s v="indie rock"/>
  </r>
  <r>
    <n v="86"/>
    <s v="Davis-Smith"/>
    <s v="Organic motivating firmware"/>
    <n v="7400"/>
    <n v="12405"/>
    <x v="1"/>
    <n v="203"/>
    <s v="US"/>
    <s v="USD"/>
    <n v="167.63513513513513"/>
    <n v="1430715600"/>
    <n v="61.108374384236456"/>
    <n v="1431838800"/>
    <x v="86"/>
    <d v="2015-05-17T05:00:00"/>
    <b v="1"/>
    <b v="0"/>
    <s v="theater/plays"/>
    <x v="3"/>
    <s v="plays"/>
  </r>
  <r>
    <n v="87"/>
    <s v="Farrell and Sons"/>
    <s v="Synergized 4thgeneration conglomeration"/>
    <n v="198500"/>
    <n v="123040"/>
    <x v="0"/>
    <n v="1482"/>
    <s v="AU"/>
    <s v="AUD"/>
    <n v="61.984886649874063"/>
    <n v="1299564000"/>
    <n v="83.022941970310384"/>
    <n v="1300510800"/>
    <x v="87"/>
    <d v="2011-03-19T05:00:00"/>
    <b v="0"/>
    <b v="1"/>
    <s v="music/rock"/>
    <x v="1"/>
    <s v="rock"/>
  </r>
  <r>
    <n v="88"/>
    <s v="Clark Group"/>
    <s v="Grass-roots fault-tolerant policy"/>
    <n v="4800"/>
    <n v="12516"/>
    <x v="1"/>
    <n v="113"/>
    <s v="US"/>
    <s v="USD"/>
    <n v="260.75"/>
    <n v="1429160400"/>
    <n v="110.76106194690266"/>
    <n v="1431061200"/>
    <x v="88"/>
    <d v="2015-05-08T05:00:00"/>
    <b v="0"/>
    <b v="0"/>
    <s v="publishing/translations"/>
    <x v="5"/>
    <s v="translations"/>
  </r>
  <r>
    <n v="89"/>
    <s v="White, Singleton and Zimmerman"/>
    <s v="Monitored scalable knowledgebase"/>
    <n v="3400"/>
    <n v="8588"/>
    <x v="1"/>
    <n v="96"/>
    <s v="US"/>
    <s v="USD"/>
    <n v="252.58823529411765"/>
    <n v="1271307600"/>
    <n v="89.458333333333329"/>
    <n v="1271480400"/>
    <x v="89"/>
    <d v="2010-04-17T05:00:00"/>
    <b v="0"/>
    <b v="0"/>
    <s v="theater/plays"/>
    <x v="3"/>
    <s v="plays"/>
  </r>
  <r>
    <n v="90"/>
    <s v="Kramer Group"/>
    <s v="Synergistic explicit parallelism"/>
    <n v="7800"/>
    <n v="6132"/>
    <x v="0"/>
    <n v="106"/>
    <s v="US"/>
    <s v="USD"/>
    <n v="78.615384615384613"/>
    <n v="1456380000"/>
    <n v="57.849056603773583"/>
    <n v="1456380000"/>
    <x v="90"/>
    <d v="2016-02-25T06:00:00"/>
    <b v="0"/>
    <b v="1"/>
    <s v="theater/plays"/>
    <x v="3"/>
    <s v="plays"/>
  </r>
  <r>
    <n v="91"/>
    <s v="Frazier, Patrick and Smith"/>
    <s v="Enhanced systemic analyzer"/>
    <n v="154300"/>
    <n v="74688"/>
    <x v="0"/>
    <n v="679"/>
    <s v="IT"/>
    <s v="EUR"/>
    <n v="48.404406999351913"/>
    <n v="1470459600"/>
    <n v="109.99705449189985"/>
    <n v="1472878800"/>
    <x v="91"/>
    <d v="2016-09-03T05:00:00"/>
    <b v="0"/>
    <b v="0"/>
    <s v="publishing/translations"/>
    <x v="5"/>
    <s v="translations"/>
  </r>
  <r>
    <n v="92"/>
    <s v="Santos, Bell and Lloyd"/>
    <s v="Object-based analyzing knowledge user"/>
    <n v="20000"/>
    <n v="51775"/>
    <x v="1"/>
    <n v="498"/>
    <s v="CH"/>
    <s v="CHF"/>
    <n v="258.875"/>
    <n v="1277269200"/>
    <n v="103.96586345381526"/>
    <n v="1277355600"/>
    <x v="92"/>
    <d v="2010-06-24T05:00:00"/>
    <b v="0"/>
    <b v="1"/>
    <s v="games/video games"/>
    <x v="6"/>
    <s v="video games"/>
  </r>
  <r>
    <n v="93"/>
    <s v="Hall and Sons"/>
    <s v="Pre-emptive radical architecture"/>
    <n v="108800"/>
    <n v="65877"/>
    <x v="3"/>
    <n v="610"/>
    <s v="US"/>
    <s v="USD"/>
    <n v="60.548713235294116"/>
    <n v="1350709200"/>
    <n v="107.99508196721311"/>
    <n v="1351054800"/>
    <x v="93"/>
    <d v="2012-10-24T05:00:00"/>
    <b v="0"/>
    <b v="1"/>
    <s v="theater/plays"/>
    <x v="3"/>
    <s v="plays"/>
  </r>
  <r>
    <n v="94"/>
    <s v="Hanson Inc"/>
    <s v="Grass-roots web-enabled contingency"/>
    <n v="2900"/>
    <n v="8807"/>
    <x v="1"/>
    <n v="180"/>
    <s v="GB"/>
    <s v="GBP"/>
    <n v="303.68965517241378"/>
    <n v="1554613200"/>
    <n v="48.927777777777777"/>
    <n v="1555563600"/>
    <x v="94"/>
    <d v="2019-04-18T05:00:00"/>
    <b v="0"/>
    <b v="0"/>
    <s v="technology/web"/>
    <x v="2"/>
    <s v="web"/>
  </r>
  <r>
    <n v="95"/>
    <s v="Sanchez LLC"/>
    <s v="Stand-alone system-worthy standardization"/>
    <n v="900"/>
    <n v="1017"/>
    <x v="1"/>
    <n v="27"/>
    <s v="US"/>
    <s v="USD"/>
    <n v="112.99999999999999"/>
    <n v="1571029200"/>
    <n v="37.666666666666664"/>
    <n v="1571634000"/>
    <x v="95"/>
    <d v="2019-10-21T05:00:00"/>
    <b v="0"/>
    <b v="0"/>
    <s v="film &amp; video/documentary"/>
    <x v="4"/>
    <s v="documentary"/>
  </r>
  <r>
    <n v="96"/>
    <s v="Howard Ltd"/>
    <s v="Down-sized systematic policy"/>
    <n v="69700"/>
    <n v="151513"/>
    <x v="1"/>
    <n v="2331"/>
    <s v="US"/>
    <s v="USD"/>
    <n v="217.37876614060258"/>
    <n v="1299736800"/>
    <n v="64.999141999141997"/>
    <n v="1300856400"/>
    <x v="96"/>
    <d v="2011-03-23T05:00:00"/>
    <b v="0"/>
    <b v="0"/>
    <s v="theater/plays"/>
    <x v="3"/>
    <s v="plays"/>
  </r>
  <r>
    <n v="97"/>
    <s v="Stewart LLC"/>
    <s v="Cloned bi-directional architecture"/>
    <n v="1300"/>
    <n v="12047"/>
    <x v="1"/>
    <n v="113"/>
    <s v="US"/>
    <s v="USD"/>
    <n v="926.69230769230762"/>
    <n v="1435208400"/>
    <n v="106.61061946902655"/>
    <n v="1439874000"/>
    <x v="48"/>
    <d v="2015-08-18T05:00:00"/>
    <b v="0"/>
    <b v="0"/>
    <s v="food/food trucks"/>
    <x v="0"/>
    <s v="food trucks"/>
  </r>
  <r>
    <n v="98"/>
    <s v="Arias, Allen and Miller"/>
    <s v="Seamless transitional portal"/>
    <n v="97800"/>
    <n v="32951"/>
    <x v="0"/>
    <n v="1220"/>
    <s v="AU"/>
    <s v="AUD"/>
    <n v="33.692229038854805"/>
    <n v="1437973200"/>
    <n v="27.009016393442622"/>
    <n v="1438318800"/>
    <x v="97"/>
    <d v="2015-07-31T05:00:00"/>
    <b v="0"/>
    <b v="0"/>
    <s v="games/video games"/>
    <x v="6"/>
    <s v="video games"/>
  </r>
  <r>
    <n v="99"/>
    <s v="Baker-Morris"/>
    <s v="Fully-configurable motivating approach"/>
    <n v="7600"/>
    <n v="14951"/>
    <x v="1"/>
    <n v="164"/>
    <s v="US"/>
    <s v="USD"/>
    <n v="196.7236842105263"/>
    <n v="1416895200"/>
    <n v="91.16463414634147"/>
    <n v="1419400800"/>
    <x v="98"/>
    <d v="2014-12-24T06:00:00"/>
    <b v="0"/>
    <b v="0"/>
    <s v="theater/plays"/>
    <x v="3"/>
    <s v="plays"/>
  </r>
  <r>
    <n v="100"/>
    <s v="Tucker, Fox and Green"/>
    <s v="Upgradable fault-tolerant approach"/>
    <n v="100"/>
    <n v="1"/>
    <x v="0"/>
    <n v="1"/>
    <s v="US"/>
    <s v="USD"/>
    <n v="1"/>
    <n v="1319000400"/>
    <n v="1"/>
    <n v="1320555600"/>
    <x v="99"/>
    <d v="2011-11-06T05:00:00"/>
    <b v="0"/>
    <b v="0"/>
    <s v="theater/plays"/>
    <x v="3"/>
    <s v="plays"/>
  </r>
  <r>
    <n v="101"/>
    <s v="Douglas LLC"/>
    <s v="Reduced heuristic moratorium"/>
    <n v="900"/>
    <n v="9193"/>
    <x v="1"/>
    <n v="164"/>
    <s v="US"/>
    <s v="USD"/>
    <n v="1021.4444444444445"/>
    <n v="1424498400"/>
    <n v="56.054878048780488"/>
    <n v="1425103200"/>
    <x v="100"/>
    <d v="2015-02-28T06:00:00"/>
    <b v="0"/>
    <b v="1"/>
    <s v="music/electric music"/>
    <x v="1"/>
    <s v="electric music"/>
  </r>
  <r>
    <n v="102"/>
    <s v="Garcia Inc"/>
    <s v="Front-line web-enabled model"/>
    <n v="3700"/>
    <n v="10422"/>
    <x v="1"/>
    <n v="336"/>
    <s v="US"/>
    <s v="USD"/>
    <n v="281.67567567567568"/>
    <n v="1526274000"/>
    <n v="31.017857142857142"/>
    <n v="1526878800"/>
    <x v="101"/>
    <d v="2018-05-21T05:00:00"/>
    <b v="0"/>
    <b v="1"/>
    <s v="technology/wearables"/>
    <x v="2"/>
    <s v="wearables"/>
  </r>
  <r>
    <n v="103"/>
    <s v="Frye, Hunt and Powell"/>
    <s v="Polarized incremental emulation"/>
    <n v="10000"/>
    <n v="2461"/>
    <x v="0"/>
    <n v="37"/>
    <s v="IT"/>
    <s v="EUR"/>
    <n v="24.610000000000003"/>
    <n v="1287896400"/>
    <n v="66.513513513513516"/>
    <n v="1288674000"/>
    <x v="102"/>
    <d v="2010-11-02T05:00:00"/>
    <b v="0"/>
    <b v="0"/>
    <s v="music/electric music"/>
    <x v="1"/>
    <s v="electric music"/>
  </r>
  <r>
    <n v="104"/>
    <s v="Smith, Wells and Nguyen"/>
    <s v="Self-enabling grid-enabled initiative"/>
    <n v="119200"/>
    <n v="170623"/>
    <x v="1"/>
    <n v="1917"/>
    <s v="US"/>
    <s v="USD"/>
    <n v="143.14010067114094"/>
    <n v="1495515600"/>
    <n v="89.005216484089729"/>
    <n v="1495602000"/>
    <x v="103"/>
    <d v="2017-05-24T05:00:00"/>
    <b v="0"/>
    <b v="0"/>
    <s v="music/indie rock"/>
    <x v="1"/>
    <s v="indie rock"/>
  </r>
  <r>
    <n v="105"/>
    <s v="Charles-Johnson"/>
    <s v="Total fresh-thinking system engine"/>
    <n v="6800"/>
    <n v="9829"/>
    <x v="1"/>
    <n v="95"/>
    <s v="US"/>
    <s v="USD"/>
    <n v="144.54411764705884"/>
    <n v="1364878800"/>
    <n v="103.46315789473684"/>
    <n v="1366434000"/>
    <x v="104"/>
    <d v="2013-04-20T05:00:00"/>
    <b v="0"/>
    <b v="0"/>
    <s v="technology/web"/>
    <x v="2"/>
    <s v="web"/>
  </r>
  <r>
    <n v="106"/>
    <s v="Brandt, Carter and Wood"/>
    <s v="Ameliorated clear-thinking circuit"/>
    <n v="3900"/>
    <n v="14006"/>
    <x v="1"/>
    <n v="147"/>
    <s v="US"/>
    <s v="USD"/>
    <n v="359.12820512820514"/>
    <n v="1567918800"/>
    <n v="95.278911564625844"/>
    <n v="1568350800"/>
    <x v="105"/>
    <d v="2019-09-13T05:00:00"/>
    <b v="0"/>
    <b v="0"/>
    <s v="theater/plays"/>
    <x v="3"/>
    <s v="plays"/>
  </r>
  <r>
    <n v="107"/>
    <s v="Tucker, Schmidt and Reid"/>
    <s v="Multi-layered encompassing installation"/>
    <n v="3500"/>
    <n v="6527"/>
    <x v="1"/>
    <n v="86"/>
    <s v="US"/>
    <s v="USD"/>
    <n v="186.48571428571427"/>
    <n v="1524459600"/>
    <n v="75.895348837209298"/>
    <n v="1525928400"/>
    <x v="106"/>
    <d v="2018-05-10T05:00:00"/>
    <b v="0"/>
    <b v="1"/>
    <s v="theater/plays"/>
    <x v="3"/>
    <s v="plays"/>
  </r>
  <r>
    <n v="108"/>
    <s v="Decker Inc"/>
    <s v="Universal encompassing implementation"/>
    <n v="1500"/>
    <n v="8929"/>
    <x v="1"/>
    <n v="83"/>
    <s v="US"/>
    <s v="USD"/>
    <n v="595.26666666666665"/>
    <n v="1333688400"/>
    <n v="107.57831325301204"/>
    <n v="1336885200"/>
    <x v="107"/>
    <d v="2012-05-13T05:00:00"/>
    <b v="0"/>
    <b v="0"/>
    <s v="film &amp; video/documentary"/>
    <x v="4"/>
    <s v="documentary"/>
  </r>
  <r>
    <n v="109"/>
    <s v="Romero and Sons"/>
    <s v="Object-based client-server application"/>
    <n v="5200"/>
    <n v="3079"/>
    <x v="0"/>
    <n v="60"/>
    <s v="US"/>
    <s v="USD"/>
    <n v="59.21153846153846"/>
    <n v="1389506400"/>
    <n v="51.31666666666667"/>
    <n v="1389679200"/>
    <x v="108"/>
    <d v="2014-01-14T06:00:00"/>
    <b v="0"/>
    <b v="0"/>
    <s v="film &amp; video/television"/>
    <x v="4"/>
    <s v="television"/>
  </r>
  <r>
    <n v="110"/>
    <s v="Castillo-Carey"/>
    <s v="Cross-platform solution-oriented process improvement"/>
    <n v="142400"/>
    <n v="21307"/>
    <x v="0"/>
    <n v="296"/>
    <s v="US"/>
    <s v="USD"/>
    <n v="14.962780898876405"/>
    <n v="1536642000"/>
    <n v="71.983108108108112"/>
    <n v="1538283600"/>
    <x v="109"/>
    <d v="2018-09-30T05:00:00"/>
    <b v="0"/>
    <b v="0"/>
    <s v="food/food trucks"/>
    <x v="0"/>
    <s v="food trucks"/>
  </r>
  <r>
    <n v="111"/>
    <s v="Hart-Briggs"/>
    <s v="Re-engineered user-facing approach"/>
    <n v="61400"/>
    <n v="73653"/>
    <x v="1"/>
    <n v="676"/>
    <s v="US"/>
    <s v="USD"/>
    <n v="119.95602605863192"/>
    <n v="1348290000"/>
    <n v="108.95414201183432"/>
    <n v="1348808400"/>
    <x v="110"/>
    <d v="2012-09-28T05:00:00"/>
    <b v="0"/>
    <b v="0"/>
    <s v="publishing/radio &amp; podcasts"/>
    <x v="5"/>
    <s v="radio &amp; podcasts"/>
  </r>
  <r>
    <n v="112"/>
    <s v="Jones-Meyer"/>
    <s v="Re-engineered client-driven hub"/>
    <n v="4700"/>
    <n v="12635"/>
    <x v="1"/>
    <n v="361"/>
    <s v="AU"/>
    <s v="AUD"/>
    <n v="268.82978723404256"/>
    <n v="1408856400"/>
    <n v="35"/>
    <n v="1410152400"/>
    <x v="111"/>
    <d v="2014-09-08T05:00:00"/>
    <b v="0"/>
    <b v="0"/>
    <s v="technology/web"/>
    <x v="2"/>
    <s v="web"/>
  </r>
  <r>
    <n v="113"/>
    <s v="Wright, Hartman and Yu"/>
    <s v="User-friendly tertiary array"/>
    <n v="3300"/>
    <n v="12437"/>
    <x v="1"/>
    <n v="131"/>
    <s v="US"/>
    <s v="USD"/>
    <n v="376.87878787878788"/>
    <n v="1505192400"/>
    <n v="94.938931297709928"/>
    <n v="1505797200"/>
    <x v="112"/>
    <d v="2017-09-19T05:00:00"/>
    <b v="0"/>
    <b v="0"/>
    <s v="food/food trucks"/>
    <x v="0"/>
    <s v="food trucks"/>
  </r>
  <r>
    <n v="114"/>
    <s v="Harper-Davis"/>
    <s v="Robust heuristic encoding"/>
    <n v="1900"/>
    <n v="13816"/>
    <x v="1"/>
    <n v="126"/>
    <s v="US"/>
    <s v="USD"/>
    <n v="727.15789473684208"/>
    <n v="1554786000"/>
    <n v="109.65079365079364"/>
    <n v="1554872400"/>
    <x v="113"/>
    <d v="2019-04-10T05:00:00"/>
    <b v="0"/>
    <b v="1"/>
    <s v="technology/wearables"/>
    <x v="2"/>
    <s v="wearables"/>
  </r>
  <r>
    <n v="115"/>
    <s v="Barrett PLC"/>
    <s v="Team-oriented clear-thinking capacity"/>
    <n v="166700"/>
    <n v="145382"/>
    <x v="0"/>
    <n v="3304"/>
    <s v="IT"/>
    <s v="EUR"/>
    <n v="87.211757648470297"/>
    <n v="1510898400"/>
    <n v="44.001815980629537"/>
    <n v="1513922400"/>
    <x v="114"/>
    <d v="2017-12-22T06:00:00"/>
    <b v="0"/>
    <b v="0"/>
    <s v="publishing/fiction"/>
    <x v="5"/>
    <s v="fiction"/>
  </r>
  <r>
    <n v="116"/>
    <s v="David-Clark"/>
    <s v="De-engineered motivating standardization"/>
    <n v="7200"/>
    <n v="6336"/>
    <x v="0"/>
    <n v="73"/>
    <s v="US"/>
    <s v="USD"/>
    <n v="88"/>
    <n v="1442552400"/>
    <n v="86.794520547945211"/>
    <n v="1442638800"/>
    <x v="115"/>
    <d v="2015-09-19T05:00:00"/>
    <b v="0"/>
    <b v="0"/>
    <s v="theater/plays"/>
    <x v="3"/>
    <s v="plays"/>
  </r>
  <r>
    <n v="117"/>
    <s v="Chaney-Dennis"/>
    <s v="Business-focused 24hour groupware"/>
    <n v="4900"/>
    <n v="8523"/>
    <x v="1"/>
    <n v="275"/>
    <s v="US"/>
    <s v="USD"/>
    <n v="173.9387755102041"/>
    <n v="1316667600"/>
    <n v="30.992727272727272"/>
    <n v="1317186000"/>
    <x v="116"/>
    <d v="2011-09-28T05:00:00"/>
    <b v="0"/>
    <b v="0"/>
    <s v="film &amp; video/television"/>
    <x v="4"/>
    <s v="television"/>
  </r>
  <r>
    <n v="118"/>
    <s v="Robinson, Lopez and Christensen"/>
    <s v="Organic next generation protocol"/>
    <n v="5400"/>
    <n v="6351"/>
    <x v="1"/>
    <n v="67"/>
    <s v="US"/>
    <s v="USD"/>
    <n v="117.61111111111111"/>
    <n v="1390716000"/>
    <n v="94.791044776119406"/>
    <n v="1391234400"/>
    <x v="117"/>
    <d v="2014-02-01T06:00:00"/>
    <b v="0"/>
    <b v="0"/>
    <s v="photography/photography books"/>
    <x v="7"/>
    <s v="photography books"/>
  </r>
  <r>
    <n v="119"/>
    <s v="Clark and Sons"/>
    <s v="Reverse-engineered full-range Internet solution"/>
    <n v="5000"/>
    <n v="10748"/>
    <x v="1"/>
    <n v="154"/>
    <s v="US"/>
    <s v="USD"/>
    <n v="214.96"/>
    <n v="1402894800"/>
    <n v="69.79220779220779"/>
    <n v="1404363600"/>
    <x v="118"/>
    <d v="2014-07-03T05:00:00"/>
    <b v="0"/>
    <b v="1"/>
    <s v="film &amp; video/documentary"/>
    <x v="4"/>
    <s v="documentary"/>
  </r>
  <r>
    <n v="120"/>
    <s v="Vega Group"/>
    <s v="Synchronized regional synergy"/>
    <n v="75100"/>
    <n v="112272"/>
    <x v="1"/>
    <n v="1782"/>
    <s v="US"/>
    <s v="USD"/>
    <n v="149.49667110519306"/>
    <n v="1429246800"/>
    <n v="63.003367003367003"/>
    <n v="1429592400"/>
    <x v="119"/>
    <d v="2015-04-21T05:00:00"/>
    <b v="0"/>
    <b v="1"/>
    <s v="games/mobile games"/>
    <x v="6"/>
    <s v="mobile games"/>
  </r>
  <r>
    <n v="121"/>
    <s v="Brown-Brown"/>
    <s v="Multi-lateral homogeneous success"/>
    <n v="45300"/>
    <n v="99361"/>
    <x v="1"/>
    <n v="903"/>
    <s v="US"/>
    <s v="USD"/>
    <n v="219.33995584988963"/>
    <n v="1412485200"/>
    <n v="110.0343300110742"/>
    <n v="1413608400"/>
    <x v="33"/>
    <d v="2014-10-18T05:00:00"/>
    <b v="0"/>
    <b v="0"/>
    <s v="games/video games"/>
    <x v="6"/>
    <s v="video games"/>
  </r>
  <r>
    <n v="122"/>
    <s v="Taylor PLC"/>
    <s v="Seamless zero-defect solution"/>
    <n v="136800"/>
    <n v="88055"/>
    <x v="0"/>
    <n v="3387"/>
    <s v="US"/>
    <s v="USD"/>
    <n v="64.367690058479525"/>
    <n v="1417068000"/>
    <n v="25.997933274284026"/>
    <n v="1419400800"/>
    <x v="120"/>
    <d v="2014-12-24T06:00:00"/>
    <b v="0"/>
    <b v="0"/>
    <s v="publishing/fiction"/>
    <x v="5"/>
    <s v="fiction"/>
  </r>
  <r>
    <n v="123"/>
    <s v="Edwards-Lewis"/>
    <s v="Enhanced scalable concept"/>
    <n v="177700"/>
    <n v="33092"/>
    <x v="0"/>
    <n v="662"/>
    <s v="CA"/>
    <s v="CAD"/>
    <n v="18.622397298818232"/>
    <n v="1448344800"/>
    <n v="49.987915407854985"/>
    <n v="1448604000"/>
    <x v="121"/>
    <d v="2015-11-27T06:00:00"/>
    <b v="1"/>
    <b v="0"/>
    <s v="theater/plays"/>
    <x v="3"/>
    <s v="plays"/>
  </r>
  <r>
    <n v="124"/>
    <s v="Stanton, Neal and Rodriguez"/>
    <s v="Polarized uniform software"/>
    <n v="2600"/>
    <n v="9562"/>
    <x v="1"/>
    <n v="94"/>
    <s v="IT"/>
    <s v="EUR"/>
    <n v="367.76923076923077"/>
    <n v="1557723600"/>
    <n v="101.72340425531915"/>
    <n v="1562302800"/>
    <x v="122"/>
    <d v="2019-07-05T05:00:00"/>
    <b v="0"/>
    <b v="0"/>
    <s v="photography/photography books"/>
    <x v="7"/>
    <s v="photography books"/>
  </r>
  <r>
    <n v="125"/>
    <s v="Pratt LLC"/>
    <s v="Stand-alone web-enabled moderator"/>
    <n v="5300"/>
    <n v="8475"/>
    <x v="1"/>
    <n v="180"/>
    <s v="US"/>
    <s v="USD"/>
    <n v="159.90566037735849"/>
    <n v="1537333200"/>
    <n v="47.083333333333336"/>
    <n v="1537678800"/>
    <x v="123"/>
    <d v="2018-09-23T05:00:00"/>
    <b v="0"/>
    <b v="0"/>
    <s v="theater/plays"/>
    <x v="3"/>
    <s v="plays"/>
  </r>
  <r>
    <n v="126"/>
    <s v="Gross PLC"/>
    <s v="Proactive methodical benchmark"/>
    <n v="180200"/>
    <n v="69617"/>
    <x v="0"/>
    <n v="774"/>
    <s v="US"/>
    <s v="USD"/>
    <n v="38.633185349611544"/>
    <n v="1471150800"/>
    <n v="89.944444444444443"/>
    <n v="1473570000"/>
    <x v="124"/>
    <d v="2016-09-11T05:00:00"/>
    <b v="0"/>
    <b v="1"/>
    <s v="theater/plays"/>
    <x v="3"/>
    <s v="plays"/>
  </r>
  <r>
    <n v="127"/>
    <s v="Martinez, Gomez and Dalton"/>
    <s v="Team-oriented 6thgeneration matrix"/>
    <n v="103200"/>
    <n v="53067"/>
    <x v="0"/>
    <n v="672"/>
    <s v="CA"/>
    <s v="CAD"/>
    <n v="51.42151162790698"/>
    <n v="1273640400"/>
    <n v="78.96875"/>
    <n v="1273899600"/>
    <x v="125"/>
    <d v="2010-05-15T05:00:00"/>
    <b v="0"/>
    <b v="0"/>
    <s v="theater/plays"/>
    <x v="3"/>
    <s v="plays"/>
  </r>
  <r>
    <n v="128"/>
    <s v="Allen-Curtis"/>
    <s v="Phased human-resource core"/>
    <n v="70600"/>
    <n v="42596"/>
    <x v="3"/>
    <n v="532"/>
    <s v="US"/>
    <s v="USD"/>
    <n v="60.334277620396605"/>
    <n v="1282885200"/>
    <n v="80.067669172932327"/>
    <n v="1284008400"/>
    <x v="126"/>
    <d v="2010-09-09T05:00:00"/>
    <b v="0"/>
    <b v="0"/>
    <s v="music/rock"/>
    <x v="1"/>
    <s v="rock"/>
  </r>
  <r>
    <n v="129"/>
    <s v="Morgan-Martinez"/>
    <s v="Mandatory tertiary implementation"/>
    <n v="148500"/>
    <n v="4756"/>
    <x v="3"/>
    <n v="55"/>
    <s v="AU"/>
    <s v="AUD"/>
    <n v="3.202693602693603"/>
    <n v="1422943200"/>
    <n v="86.472727272727269"/>
    <n v="1425103200"/>
    <x v="127"/>
    <d v="2015-02-28T06:00:00"/>
    <b v="0"/>
    <b v="0"/>
    <s v="food/food trucks"/>
    <x v="0"/>
    <s v="food trucks"/>
  </r>
  <r>
    <n v="130"/>
    <s v="Luna, Anderson and Fox"/>
    <s v="Secured directional encryption"/>
    <n v="9600"/>
    <n v="14925"/>
    <x v="1"/>
    <n v="533"/>
    <s v="DK"/>
    <s v="DKK"/>
    <n v="155.46875"/>
    <n v="1319605200"/>
    <n v="28.001876172607879"/>
    <n v="1320991200"/>
    <x v="128"/>
    <d v="2011-11-11T06:00:00"/>
    <b v="0"/>
    <b v="0"/>
    <s v="film &amp; video/drama"/>
    <x v="4"/>
    <s v="drama"/>
  </r>
  <r>
    <n v="131"/>
    <s v="Fleming, Zhang and Henderson"/>
    <s v="Distributed 5thgeneration implementation"/>
    <n v="164700"/>
    <n v="166116"/>
    <x v="1"/>
    <n v="2443"/>
    <s v="GB"/>
    <s v="GBP"/>
    <n v="100.85974499089254"/>
    <n v="1385704800"/>
    <n v="67.996725337699544"/>
    <n v="1386828000"/>
    <x v="129"/>
    <d v="2013-12-12T06:00:00"/>
    <b v="0"/>
    <b v="0"/>
    <s v="technology/web"/>
    <x v="2"/>
    <s v="web"/>
  </r>
  <r>
    <n v="132"/>
    <s v="Flowers and Sons"/>
    <s v="Virtual static core"/>
    <n v="3300"/>
    <n v="3834"/>
    <x v="1"/>
    <n v="89"/>
    <s v="US"/>
    <s v="USD"/>
    <n v="116.18181818181819"/>
    <n v="1515736800"/>
    <n v="43.078651685393261"/>
    <n v="1517119200"/>
    <x v="130"/>
    <d v="2018-01-28T06:00:00"/>
    <b v="0"/>
    <b v="1"/>
    <s v="theater/plays"/>
    <x v="3"/>
    <s v="plays"/>
  </r>
  <r>
    <n v="133"/>
    <s v="Gates PLC"/>
    <s v="Secured content-based product"/>
    <n v="4500"/>
    <n v="13985"/>
    <x v="1"/>
    <n v="159"/>
    <s v="US"/>
    <s v="USD"/>
    <n v="310.77777777777777"/>
    <n v="1313125200"/>
    <n v="87.95597484276729"/>
    <n v="1315026000"/>
    <x v="131"/>
    <d v="2011-09-03T05:00:00"/>
    <b v="0"/>
    <b v="0"/>
    <s v="music/world music"/>
    <x v="1"/>
    <s v="world music"/>
  </r>
  <r>
    <n v="134"/>
    <s v="Caldwell LLC"/>
    <s v="Secured executive concept"/>
    <n v="99500"/>
    <n v="89288"/>
    <x v="0"/>
    <n v="940"/>
    <s v="CH"/>
    <s v="CHF"/>
    <n v="89.73668341708543"/>
    <n v="1308459600"/>
    <n v="94.987234042553197"/>
    <n v="1312693200"/>
    <x v="132"/>
    <d v="2011-08-07T05:00:00"/>
    <b v="0"/>
    <b v="1"/>
    <s v="film &amp; video/documentary"/>
    <x v="4"/>
    <s v="documentary"/>
  </r>
  <r>
    <n v="135"/>
    <s v="Le, Burton and Evans"/>
    <s v="Balanced zero-defect software"/>
    <n v="7700"/>
    <n v="5488"/>
    <x v="0"/>
    <n v="117"/>
    <s v="US"/>
    <s v="USD"/>
    <n v="71.27272727272728"/>
    <n v="1362636000"/>
    <n v="46.905982905982903"/>
    <n v="1363064400"/>
    <x v="133"/>
    <d v="2013-03-12T05:00:00"/>
    <b v="0"/>
    <b v="1"/>
    <s v="theater/plays"/>
    <x v="3"/>
    <s v="plays"/>
  </r>
  <r>
    <n v="136"/>
    <s v="Briggs PLC"/>
    <s v="Distributed context-sensitive flexibility"/>
    <n v="82800"/>
    <n v="2721"/>
    <x v="3"/>
    <n v="58"/>
    <s v="US"/>
    <s v="USD"/>
    <n v="3.2862318840579712"/>
    <n v="1402117200"/>
    <n v="46.913793103448278"/>
    <n v="1403154000"/>
    <x v="134"/>
    <d v="2014-06-19T05:00:00"/>
    <b v="0"/>
    <b v="1"/>
    <s v="film &amp; video/drama"/>
    <x v="4"/>
    <s v="drama"/>
  </r>
  <r>
    <n v="137"/>
    <s v="Hudson-Nguyen"/>
    <s v="Down-sized disintermediate support"/>
    <n v="1800"/>
    <n v="4712"/>
    <x v="1"/>
    <n v="50"/>
    <s v="US"/>
    <s v="USD"/>
    <n v="261.77777777777777"/>
    <n v="1286341200"/>
    <n v="94.24"/>
    <n v="1286859600"/>
    <x v="135"/>
    <d v="2010-10-12T05:00:00"/>
    <b v="0"/>
    <b v="0"/>
    <s v="publishing/nonfiction"/>
    <x v="5"/>
    <s v="nonfiction"/>
  </r>
  <r>
    <n v="138"/>
    <s v="Hogan Ltd"/>
    <s v="Stand-alone mission-critical moratorium"/>
    <n v="9600"/>
    <n v="9216"/>
    <x v="0"/>
    <n v="115"/>
    <s v="US"/>
    <s v="USD"/>
    <n v="96"/>
    <n v="1348808400"/>
    <n v="80.139130434782615"/>
    <n v="1349326800"/>
    <x v="136"/>
    <d v="2012-10-04T05:00:00"/>
    <b v="0"/>
    <b v="0"/>
    <s v="games/mobile games"/>
    <x v="6"/>
    <s v="mobile games"/>
  </r>
  <r>
    <n v="139"/>
    <s v="Hamilton, Wright and Chavez"/>
    <s v="Down-sized empowering protocol"/>
    <n v="92100"/>
    <n v="19246"/>
    <x v="0"/>
    <n v="326"/>
    <s v="US"/>
    <s v="USD"/>
    <n v="20.896851248642779"/>
    <n v="1429592400"/>
    <n v="59.036809815950917"/>
    <n v="1430974800"/>
    <x v="137"/>
    <d v="2015-05-07T05:00:00"/>
    <b v="0"/>
    <b v="1"/>
    <s v="technology/wearables"/>
    <x v="2"/>
    <s v="wearables"/>
  </r>
  <r>
    <n v="140"/>
    <s v="Bautista-Cross"/>
    <s v="Fully-configurable coherent Internet solution"/>
    <n v="5500"/>
    <n v="12274"/>
    <x v="1"/>
    <n v="186"/>
    <s v="US"/>
    <s v="USD"/>
    <n v="223.16363636363636"/>
    <n v="1519538400"/>
    <n v="65.989247311827953"/>
    <n v="1519970400"/>
    <x v="138"/>
    <d v="2018-03-02T06:00:00"/>
    <b v="0"/>
    <b v="0"/>
    <s v="film &amp; video/documentary"/>
    <x v="4"/>
    <s v="documentary"/>
  </r>
  <r>
    <n v="141"/>
    <s v="Jackson LLC"/>
    <s v="Distributed motivating algorithm"/>
    <n v="64300"/>
    <n v="65323"/>
    <x v="1"/>
    <n v="1071"/>
    <s v="US"/>
    <s v="USD"/>
    <n v="101.59097978227061"/>
    <n v="1434085200"/>
    <n v="60.992530345471522"/>
    <n v="1434603600"/>
    <x v="139"/>
    <d v="2015-06-18T05:00:00"/>
    <b v="0"/>
    <b v="0"/>
    <s v="technology/web"/>
    <x v="2"/>
    <s v="web"/>
  </r>
  <r>
    <n v="142"/>
    <s v="Figueroa Ltd"/>
    <s v="Expanded solution-oriented benchmark"/>
    <n v="5000"/>
    <n v="11502"/>
    <x v="1"/>
    <n v="117"/>
    <s v="US"/>
    <s v="USD"/>
    <n v="230.03999999999996"/>
    <n v="1333688400"/>
    <n v="98.307692307692307"/>
    <n v="1337230800"/>
    <x v="107"/>
    <d v="2012-05-17T05:00:00"/>
    <b v="0"/>
    <b v="0"/>
    <s v="technology/web"/>
    <x v="2"/>
    <s v="web"/>
  </r>
  <r>
    <n v="143"/>
    <s v="Avila-Jones"/>
    <s v="Implemented discrete secured line"/>
    <n v="5400"/>
    <n v="7322"/>
    <x v="1"/>
    <n v="70"/>
    <s v="US"/>
    <s v="USD"/>
    <n v="135.59259259259261"/>
    <n v="1277701200"/>
    <n v="104.6"/>
    <n v="1279429200"/>
    <x v="140"/>
    <d v="2010-07-18T05:00:00"/>
    <b v="0"/>
    <b v="0"/>
    <s v="music/indie rock"/>
    <x v="1"/>
    <s v="indie rock"/>
  </r>
  <r>
    <n v="144"/>
    <s v="Martin, Lopez and Hunter"/>
    <s v="Multi-lateral actuating installation"/>
    <n v="9000"/>
    <n v="11619"/>
    <x v="1"/>
    <n v="135"/>
    <s v="US"/>
    <s v="USD"/>
    <n v="129.1"/>
    <n v="1560747600"/>
    <n v="86.066666666666663"/>
    <n v="1561438800"/>
    <x v="141"/>
    <d v="2019-06-25T05:00:00"/>
    <b v="0"/>
    <b v="0"/>
    <s v="theater/plays"/>
    <x v="3"/>
    <s v="plays"/>
  </r>
  <r>
    <n v="145"/>
    <s v="Fields-Moore"/>
    <s v="Secured reciprocal array"/>
    <n v="25000"/>
    <n v="59128"/>
    <x v="1"/>
    <n v="768"/>
    <s v="CH"/>
    <s v="CHF"/>
    <n v="236.512"/>
    <n v="1410066000"/>
    <n v="76.989583333333329"/>
    <n v="1410498000"/>
    <x v="142"/>
    <d v="2014-09-12T05:00:00"/>
    <b v="0"/>
    <b v="0"/>
    <s v="technology/wearables"/>
    <x v="2"/>
    <s v="wearables"/>
  </r>
  <r>
    <n v="146"/>
    <s v="Harris-Golden"/>
    <s v="Optional bandwidth-monitored middleware"/>
    <n v="8800"/>
    <n v="1518"/>
    <x v="3"/>
    <n v="51"/>
    <s v="US"/>
    <s v="USD"/>
    <n v="17.25"/>
    <n v="1320732000"/>
    <n v="29.764705882352942"/>
    <n v="1322460000"/>
    <x v="143"/>
    <d v="2011-11-28T06:00:00"/>
    <b v="0"/>
    <b v="0"/>
    <s v="theater/plays"/>
    <x v="3"/>
    <s v="plays"/>
  </r>
  <r>
    <n v="147"/>
    <s v="Moss, Norman and Dunlap"/>
    <s v="Upgradable upward-trending workforce"/>
    <n v="8300"/>
    <n v="9337"/>
    <x v="1"/>
    <n v="199"/>
    <s v="US"/>
    <s v="USD"/>
    <n v="112.49397590361446"/>
    <n v="1465794000"/>
    <n v="46.91959798994975"/>
    <n v="1466312400"/>
    <x v="144"/>
    <d v="2016-06-19T05:00:00"/>
    <b v="0"/>
    <b v="1"/>
    <s v="theater/plays"/>
    <x v="3"/>
    <s v="plays"/>
  </r>
  <r>
    <n v="148"/>
    <s v="White, Larson and Wright"/>
    <s v="Upgradable hybrid capability"/>
    <n v="9300"/>
    <n v="11255"/>
    <x v="1"/>
    <n v="107"/>
    <s v="US"/>
    <s v="USD"/>
    <n v="121.02150537634408"/>
    <n v="1500958800"/>
    <n v="105.18691588785046"/>
    <n v="1501736400"/>
    <x v="145"/>
    <d v="2017-08-03T05:00:00"/>
    <b v="0"/>
    <b v="0"/>
    <s v="technology/wearables"/>
    <x v="2"/>
    <s v="wearables"/>
  </r>
  <r>
    <n v="149"/>
    <s v="Payne, Oliver and Burch"/>
    <s v="Managed fresh-thinking flexibility"/>
    <n v="6200"/>
    <n v="13632"/>
    <x v="1"/>
    <n v="195"/>
    <s v="US"/>
    <s v="USD"/>
    <n v="219.87096774193549"/>
    <n v="1357020000"/>
    <n v="69.907692307692301"/>
    <n v="1361512800"/>
    <x v="146"/>
    <d v="2013-02-22T06:00:00"/>
    <b v="0"/>
    <b v="0"/>
    <s v="music/indie rock"/>
    <x v="1"/>
    <s v="indie rock"/>
  </r>
  <r>
    <n v="150"/>
    <s v="Brown, Palmer and Pace"/>
    <s v="Networked stable workforce"/>
    <n v="100"/>
    <n v="1"/>
    <x v="0"/>
    <n v="1"/>
    <s v="US"/>
    <s v="USD"/>
    <n v="1"/>
    <n v="1544940000"/>
    <n v="1"/>
    <n v="1545026400"/>
    <x v="147"/>
    <d v="2018-12-17T06:00:00"/>
    <b v="0"/>
    <b v="0"/>
    <s v="music/rock"/>
    <x v="1"/>
    <s v="rock"/>
  </r>
  <r>
    <n v="151"/>
    <s v="Parker LLC"/>
    <s v="Customizable intermediate extranet"/>
    <n v="137200"/>
    <n v="88037"/>
    <x v="0"/>
    <n v="1467"/>
    <s v="US"/>
    <s v="USD"/>
    <n v="64.166909620991248"/>
    <n v="1402290000"/>
    <n v="60.011588275391958"/>
    <n v="1406696400"/>
    <x v="148"/>
    <d v="2014-07-30T05:00:00"/>
    <b v="0"/>
    <b v="0"/>
    <s v="music/electric music"/>
    <x v="1"/>
    <s v="electric music"/>
  </r>
  <r>
    <n v="152"/>
    <s v="Bowen, Mcdonald and Hall"/>
    <s v="User-centric fault-tolerant task-force"/>
    <n v="41500"/>
    <n v="175573"/>
    <x v="1"/>
    <n v="3376"/>
    <s v="US"/>
    <s v="USD"/>
    <n v="423.06746987951806"/>
    <n v="1487311200"/>
    <n v="52.006220379146917"/>
    <n v="1487916000"/>
    <x v="149"/>
    <d v="2017-02-24T06:00:00"/>
    <b v="0"/>
    <b v="0"/>
    <s v="music/indie rock"/>
    <x v="1"/>
    <s v="indie rock"/>
  </r>
  <r>
    <n v="153"/>
    <s v="Whitehead, Bell and Hughes"/>
    <s v="Multi-tiered radical definition"/>
    <n v="189400"/>
    <n v="176112"/>
    <x v="0"/>
    <n v="5681"/>
    <s v="US"/>
    <s v="USD"/>
    <n v="92.984160506863773"/>
    <n v="1350622800"/>
    <n v="31.000176025347649"/>
    <n v="1351141200"/>
    <x v="150"/>
    <d v="2012-10-25T05:00:00"/>
    <b v="0"/>
    <b v="0"/>
    <s v="theater/plays"/>
    <x v="3"/>
    <s v="plays"/>
  </r>
  <r>
    <n v="154"/>
    <s v="Rodriguez-Brown"/>
    <s v="Devolved foreground benchmark"/>
    <n v="171300"/>
    <n v="100650"/>
    <x v="0"/>
    <n v="1059"/>
    <s v="US"/>
    <s v="USD"/>
    <n v="58.756567425569173"/>
    <n v="1463029200"/>
    <n v="95.042492917847028"/>
    <n v="1465016400"/>
    <x v="151"/>
    <d v="2016-06-04T05:00:00"/>
    <b v="0"/>
    <b v="1"/>
    <s v="music/indie rock"/>
    <x v="1"/>
    <s v="indie rock"/>
  </r>
  <r>
    <n v="155"/>
    <s v="Hall-Schaefer"/>
    <s v="Distributed eco-centric methodology"/>
    <n v="139500"/>
    <n v="90706"/>
    <x v="0"/>
    <n v="1194"/>
    <s v="US"/>
    <s v="USD"/>
    <n v="65.022222222222226"/>
    <n v="1269493200"/>
    <n v="75.968174204355108"/>
    <n v="1270789200"/>
    <x v="152"/>
    <d v="2010-04-09T05:00:00"/>
    <b v="0"/>
    <b v="0"/>
    <s v="theater/plays"/>
    <x v="3"/>
    <s v="plays"/>
  </r>
  <r>
    <n v="156"/>
    <s v="Meza-Rogers"/>
    <s v="Streamlined encompassing encryption"/>
    <n v="36400"/>
    <n v="26914"/>
    <x v="3"/>
    <n v="379"/>
    <s v="AU"/>
    <s v="AUD"/>
    <n v="73.939560439560438"/>
    <n v="1570251600"/>
    <n v="71.013192612137203"/>
    <n v="1572325200"/>
    <x v="153"/>
    <d v="2019-10-29T05:00:00"/>
    <b v="0"/>
    <b v="0"/>
    <s v="music/rock"/>
    <x v="1"/>
    <s v="rock"/>
  </r>
  <r>
    <n v="157"/>
    <s v="Curtis-Curtis"/>
    <s v="User-friendly reciprocal initiative"/>
    <n v="4200"/>
    <n v="2212"/>
    <x v="0"/>
    <n v="30"/>
    <s v="AU"/>
    <s v="AUD"/>
    <n v="52.666666666666664"/>
    <n v="1388383200"/>
    <n v="73.733333333333334"/>
    <n v="1389420000"/>
    <x v="154"/>
    <d v="2014-01-11T06:00:00"/>
    <b v="0"/>
    <b v="0"/>
    <s v="photography/photography books"/>
    <x v="7"/>
    <s v="photography books"/>
  </r>
  <r>
    <n v="158"/>
    <s v="Carlson Inc"/>
    <s v="Ergonomic fresh-thinking installation"/>
    <n v="2100"/>
    <n v="4640"/>
    <x v="1"/>
    <n v="41"/>
    <s v="US"/>
    <s v="USD"/>
    <n v="220.95238095238096"/>
    <n v="1449554400"/>
    <n v="113.17073170731707"/>
    <n v="1449640800"/>
    <x v="155"/>
    <d v="2015-12-09T06:00:00"/>
    <b v="0"/>
    <b v="0"/>
    <s v="music/rock"/>
    <x v="1"/>
    <s v="rock"/>
  </r>
  <r>
    <n v="159"/>
    <s v="Clarke, Anderson and Lee"/>
    <s v="Robust explicit hardware"/>
    <n v="191200"/>
    <n v="191222"/>
    <x v="1"/>
    <n v="1821"/>
    <s v="US"/>
    <s v="USD"/>
    <n v="100.01150627615063"/>
    <n v="1553662800"/>
    <n v="105.00933552992861"/>
    <n v="1555218000"/>
    <x v="156"/>
    <d v="2019-04-14T05:00:00"/>
    <b v="0"/>
    <b v="1"/>
    <s v="theater/plays"/>
    <x v="3"/>
    <s v="plays"/>
  </r>
  <r>
    <n v="160"/>
    <s v="Evans Group"/>
    <s v="Stand-alone actuating support"/>
    <n v="8000"/>
    <n v="12985"/>
    <x v="1"/>
    <n v="164"/>
    <s v="US"/>
    <s v="USD"/>
    <n v="162.3125"/>
    <n v="1556341200"/>
    <n v="79.176829268292678"/>
    <n v="1557723600"/>
    <x v="157"/>
    <d v="2019-05-13T05:00:00"/>
    <b v="0"/>
    <b v="0"/>
    <s v="technology/wearables"/>
    <x v="2"/>
    <s v="wearables"/>
  </r>
  <r>
    <n v="161"/>
    <s v="Bruce Group"/>
    <s v="Cross-platform methodical process improvement"/>
    <n v="5500"/>
    <n v="4300"/>
    <x v="0"/>
    <n v="75"/>
    <s v="US"/>
    <s v="USD"/>
    <n v="78.181818181818187"/>
    <n v="1442984400"/>
    <n v="57.333333333333336"/>
    <n v="1443502800"/>
    <x v="158"/>
    <d v="2015-09-29T05:00:00"/>
    <b v="0"/>
    <b v="1"/>
    <s v="technology/web"/>
    <x v="2"/>
    <s v="web"/>
  </r>
  <r>
    <n v="162"/>
    <s v="Keith, Alvarez and Potter"/>
    <s v="Extended bottom-line open architecture"/>
    <n v="6100"/>
    <n v="9134"/>
    <x v="1"/>
    <n v="157"/>
    <s v="CH"/>
    <s v="CHF"/>
    <n v="149.73770491803279"/>
    <n v="1544248800"/>
    <n v="58.178343949044589"/>
    <n v="1546840800"/>
    <x v="159"/>
    <d v="2019-01-07T06:00:00"/>
    <b v="0"/>
    <b v="0"/>
    <s v="music/rock"/>
    <x v="1"/>
    <s v="rock"/>
  </r>
  <r>
    <n v="163"/>
    <s v="Burton-Watkins"/>
    <s v="Extended reciprocal circuit"/>
    <n v="3500"/>
    <n v="8864"/>
    <x v="1"/>
    <n v="246"/>
    <s v="US"/>
    <s v="USD"/>
    <n v="253.25714285714284"/>
    <n v="1508475600"/>
    <n v="36.032520325203251"/>
    <n v="1512712800"/>
    <x v="160"/>
    <d v="2017-12-08T06:00:00"/>
    <b v="0"/>
    <b v="1"/>
    <s v="photography/photography books"/>
    <x v="7"/>
    <s v="photography books"/>
  </r>
  <r>
    <n v="164"/>
    <s v="Lopez and Sons"/>
    <s v="Polarized human-resource protocol"/>
    <n v="150500"/>
    <n v="150755"/>
    <x v="1"/>
    <n v="1396"/>
    <s v="US"/>
    <s v="USD"/>
    <n v="100.16943521594683"/>
    <n v="1507438800"/>
    <n v="107.99068767908309"/>
    <n v="1507525200"/>
    <x v="161"/>
    <d v="2017-10-09T05:00:00"/>
    <b v="0"/>
    <b v="0"/>
    <s v="theater/plays"/>
    <x v="3"/>
    <s v="plays"/>
  </r>
  <r>
    <n v="165"/>
    <s v="Cordova Ltd"/>
    <s v="Synergized radical product"/>
    <n v="90400"/>
    <n v="110279"/>
    <x v="1"/>
    <n v="2506"/>
    <s v="US"/>
    <s v="USD"/>
    <n v="121.99004424778761"/>
    <n v="1501563600"/>
    <n v="44.005985634477256"/>
    <n v="1504328400"/>
    <x v="162"/>
    <d v="2017-09-02T05:00:00"/>
    <b v="0"/>
    <b v="0"/>
    <s v="technology/web"/>
    <x v="2"/>
    <s v="web"/>
  </r>
  <r>
    <n v="166"/>
    <s v="Brown-Vang"/>
    <s v="Robust heuristic artificial intelligence"/>
    <n v="9800"/>
    <n v="13439"/>
    <x v="1"/>
    <n v="244"/>
    <s v="US"/>
    <s v="USD"/>
    <n v="137.13265306122449"/>
    <n v="1292997600"/>
    <n v="55.077868852459019"/>
    <n v="1293343200"/>
    <x v="163"/>
    <d v="2010-12-26T06:00:00"/>
    <b v="0"/>
    <b v="0"/>
    <s v="photography/photography books"/>
    <x v="7"/>
    <s v="photography books"/>
  </r>
  <r>
    <n v="167"/>
    <s v="Cruz-Ward"/>
    <s v="Robust content-based emulation"/>
    <n v="2600"/>
    <n v="10804"/>
    <x v="1"/>
    <n v="146"/>
    <s v="AU"/>
    <s v="AUD"/>
    <n v="415.53846153846149"/>
    <n v="1370840400"/>
    <n v="74"/>
    <n v="1371704400"/>
    <x v="164"/>
    <d v="2013-06-20T05:00:00"/>
    <b v="0"/>
    <b v="0"/>
    <s v="theater/plays"/>
    <x v="3"/>
    <s v="plays"/>
  </r>
  <r>
    <n v="168"/>
    <s v="Hernandez Group"/>
    <s v="Ergonomic uniform open system"/>
    <n v="128100"/>
    <n v="40107"/>
    <x v="0"/>
    <n v="955"/>
    <s v="DK"/>
    <s v="DKK"/>
    <n v="31.30913348946136"/>
    <n v="1550815200"/>
    <n v="41.996858638743454"/>
    <n v="1552798800"/>
    <x v="165"/>
    <d v="2019-03-17T05:00:00"/>
    <b v="0"/>
    <b v="1"/>
    <s v="music/indie rock"/>
    <x v="1"/>
    <s v="indie rock"/>
  </r>
  <r>
    <n v="169"/>
    <s v="Tran, Steele and Wilson"/>
    <s v="Profit-focused modular product"/>
    <n v="23300"/>
    <n v="98811"/>
    <x v="1"/>
    <n v="1267"/>
    <s v="US"/>
    <s v="USD"/>
    <n v="424.08154506437768"/>
    <n v="1339909200"/>
    <n v="77.988161010260455"/>
    <n v="1342328400"/>
    <x v="166"/>
    <d v="2012-07-15T05:00:00"/>
    <b v="0"/>
    <b v="1"/>
    <s v="film &amp; video/shorts"/>
    <x v="4"/>
    <s v="shorts"/>
  </r>
  <r>
    <n v="170"/>
    <s v="Summers, Gallegos and Stein"/>
    <s v="Mandatory mobile product"/>
    <n v="188100"/>
    <n v="5528"/>
    <x v="0"/>
    <n v="67"/>
    <s v="US"/>
    <s v="USD"/>
    <n v="2.93886230728336"/>
    <n v="1501736400"/>
    <n v="82.507462686567166"/>
    <n v="1502341200"/>
    <x v="167"/>
    <d v="2017-08-10T05:00:00"/>
    <b v="0"/>
    <b v="0"/>
    <s v="music/indie rock"/>
    <x v="1"/>
    <s v="indie rock"/>
  </r>
  <r>
    <n v="171"/>
    <s v="Blair Group"/>
    <s v="Public-key 3rdgeneration budgetary management"/>
    <n v="4900"/>
    <n v="521"/>
    <x v="0"/>
    <n v="5"/>
    <s v="US"/>
    <s v="USD"/>
    <n v="10.63265306122449"/>
    <n v="1395291600"/>
    <n v="104.2"/>
    <n v="1397192400"/>
    <x v="168"/>
    <d v="2014-04-11T05:00:00"/>
    <b v="0"/>
    <b v="0"/>
    <s v="publishing/translations"/>
    <x v="5"/>
    <s v="translations"/>
  </r>
  <r>
    <n v="172"/>
    <s v="Nixon Inc"/>
    <s v="Centralized national firmware"/>
    <n v="800"/>
    <n v="663"/>
    <x v="0"/>
    <n v="26"/>
    <s v="US"/>
    <s v="USD"/>
    <n v="82.875"/>
    <n v="1405746000"/>
    <n v="25.5"/>
    <n v="1407042000"/>
    <x v="169"/>
    <d v="2014-08-03T05:00:00"/>
    <b v="0"/>
    <b v="1"/>
    <s v="film &amp; video/documentary"/>
    <x v="4"/>
    <s v="documentary"/>
  </r>
  <r>
    <n v="173"/>
    <s v="White LLC"/>
    <s v="Cross-group 4thgeneration middleware"/>
    <n v="96700"/>
    <n v="157635"/>
    <x v="1"/>
    <n v="1561"/>
    <s v="US"/>
    <s v="USD"/>
    <n v="163.01447776628748"/>
    <n v="1368853200"/>
    <n v="100.98334401024984"/>
    <n v="1369371600"/>
    <x v="170"/>
    <d v="2013-05-24T05:00:00"/>
    <b v="0"/>
    <b v="0"/>
    <s v="theater/plays"/>
    <x v="3"/>
    <s v="plays"/>
  </r>
  <r>
    <n v="174"/>
    <s v="Santos, Black and Donovan"/>
    <s v="Pre-emptive scalable access"/>
    <n v="600"/>
    <n v="5368"/>
    <x v="1"/>
    <n v="48"/>
    <s v="US"/>
    <s v="USD"/>
    <n v="894.66666666666674"/>
    <n v="1444021200"/>
    <n v="111.83333333333333"/>
    <n v="1444107600"/>
    <x v="171"/>
    <d v="2015-10-06T05:00:00"/>
    <b v="0"/>
    <b v="1"/>
    <s v="technology/wearables"/>
    <x v="2"/>
    <s v="wearables"/>
  </r>
  <r>
    <n v="175"/>
    <s v="Jones, Contreras and Burnett"/>
    <s v="Sharable intangible migration"/>
    <n v="181200"/>
    <n v="47459"/>
    <x v="0"/>
    <n v="1130"/>
    <s v="US"/>
    <s v="USD"/>
    <n v="26.191501103752756"/>
    <n v="1472619600"/>
    <n v="41.999115044247787"/>
    <n v="1474261200"/>
    <x v="172"/>
    <d v="2016-09-19T05:00:00"/>
    <b v="0"/>
    <b v="0"/>
    <s v="theater/plays"/>
    <x v="3"/>
    <s v="plays"/>
  </r>
  <r>
    <n v="176"/>
    <s v="Stone-Orozco"/>
    <s v="Proactive scalable Graphical User Interface"/>
    <n v="115000"/>
    <n v="86060"/>
    <x v="0"/>
    <n v="782"/>
    <s v="US"/>
    <s v="USD"/>
    <n v="74.834782608695647"/>
    <n v="1472878800"/>
    <n v="110.05115089514067"/>
    <n v="1473656400"/>
    <x v="173"/>
    <d v="2016-09-12T05:00:00"/>
    <b v="0"/>
    <b v="0"/>
    <s v="theater/plays"/>
    <x v="3"/>
    <s v="plays"/>
  </r>
  <r>
    <n v="177"/>
    <s v="Lee, Gibson and Morgan"/>
    <s v="Digitized solution-oriented product"/>
    <n v="38800"/>
    <n v="161593"/>
    <x v="1"/>
    <n v="2739"/>
    <s v="US"/>
    <s v="USD"/>
    <n v="416.47680412371136"/>
    <n v="1289800800"/>
    <n v="58.997079225994888"/>
    <n v="1291960800"/>
    <x v="174"/>
    <d v="2010-12-10T06:00:00"/>
    <b v="0"/>
    <b v="0"/>
    <s v="theater/plays"/>
    <x v="3"/>
    <s v="plays"/>
  </r>
  <r>
    <n v="178"/>
    <s v="Alexander-Williams"/>
    <s v="Triple-buffered cohesive structure"/>
    <n v="7200"/>
    <n v="6927"/>
    <x v="0"/>
    <n v="210"/>
    <s v="US"/>
    <s v="USD"/>
    <n v="96.208333333333329"/>
    <n v="1505970000"/>
    <n v="32.985714285714288"/>
    <n v="1506747600"/>
    <x v="175"/>
    <d v="2017-09-30T05:00:00"/>
    <b v="0"/>
    <b v="0"/>
    <s v="food/food trucks"/>
    <x v="0"/>
    <s v="food trucks"/>
  </r>
  <r>
    <n v="179"/>
    <s v="Marks Ltd"/>
    <s v="Realigned human-resource orchestration"/>
    <n v="44500"/>
    <n v="159185"/>
    <x v="1"/>
    <n v="3537"/>
    <s v="CA"/>
    <s v="CAD"/>
    <n v="357.71910112359546"/>
    <n v="1363496400"/>
    <n v="45.005654509471306"/>
    <n v="1363582800"/>
    <x v="176"/>
    <d v="2013-03-18T05:00:00"/>
    <b v="0"/>
    <b v="1"/>
    <s v="theater/plays"/>
    <x v="3"/>
    <s v="plays"/>
  </r>
  <r>
    <n v="180"/>
    <s v="Olsen, Edwards and Reid"/>
    <s v="Optional clear-thinking software"/>
    <n v="56000"/>
    <n v="172736"/>
    <x v="1"/>
    <n v="2107"/>
    <s v="AU"/>
    <s v="AUD"/>
    <n v="308.45714285714286"/>
    <n v="1269234000"/>
    <n v="81.98196487897485"/>
    <n v="1269666000"/>
    <x v="177"/>
    <d v="2010-03-27T05:00:00"/>
    <b v="0"/>
    <b v="0"/>
    <s v="technology/wearables"/>
    <x v="2"/>
    <s v="wearables"/>
  </r>
  <r>
    <n v="181"/>
    <s v="Daniels, Rose and Tyler"/>
    <s v="Centralized global approach"/>
    <n v="8600"/>
    <n v="5315"/>
    <x v="0"/>
    <n v="136"/>
    <s v="US"/>
    <s v="USD"/>
    <n v="61.802325581395344"/>
    <n v="1507093200"/>
    <n v="39.080882352941174"/>
    <n v="1508648400"/>
    <x v="178"/>
    <d v="2017-10-22T05:00:00"/>
    <b v="0"/>
    <b v="0"/>
    <s v="technology/web"/>
    <x v="2"/>
    <s v="web"/>
  </r>
  <r>
    <n v="182"/>
    <s v="Adams Group"/>
    <s v="Reverse-engineered bandwidth-monitored contingency"/>
    <n v="27100"/>
    <n v="195750"/>
    <x v="1"/>
    <n v="3318"/>
    <s v="DK"/>
    <s v="DKK"/>
    <n v="722.32472324723244"/>
    <n v="1560574800"/>
    <n v="58.996383363471971"/>
    <n v="1561957200"/>
    <x v="179"/>
    <d v="2019-07-01T05:00:00"/>
    <b v="0"/>
    <b v="0"/>
    <s v="theater/plays"/>
    <x v="3"/>
    <s v="plays"/>
  </r>
  <r>
    <n v="183"/>
    <s v="Rogers, Huerta and Medina"/>
    <s v="Pre-emptive bandwidth-monitored instruction set"/>
    <n v="5100"/>
    <n v="3525"/>
    <x v="0"/>
    <n v="86"/>
    <s v="CA"/>
    <s v="CAD"/>
    <n v="69.117647058823522"/>
    <n v="1284008400"/>
    <n v="40.988372093023258"/>
    <n v="1285131600"/>
    <x v="180"/>
    <d v="2010-09-22T05:00:00"/>
    <b v="0"/>
    <b v="0"/>
    <s v="music/rock"/>
    <x v="1"/>
    <s v="rock"/>
  </r>
  <r>
    <n v="184"/>
    <s v="Howard, Carter and Griffith"/>
    <s v="Adaptive asynchronous emulation"/>
    <n v="3600"/>
    <n v="10550"/>
    <x v="1"/>
    <n v="340"/>
    <s v="US"/>
    <s v="USD"/>
    <n v="293.05555555555554"/>
    <n v="1556859600"/>
    <n v="31.029411764705884"/>
    <n v="1556946000"/>
    <x v="181"/>
    <d v="2019-05-04T05:00:00"/>
    <b v="0"/>
    <b v="0"/>
    <s v="theater/plays"/>
    <x v="3"/>
    <s v="plays"/>
  </r>
  <r>
    <n v="185"/>
    <s v="Bailey PLC"/>
    <s v="Innovative actuating conglomeration"/>
    <n v="1000"/>
    <n v="718"/>
    <x v="0"/>
    <n v="19"/>
    <s v="US"/>
    <s v="USD"/>
    <n v="71.8"/>
    <n v="1526187600"/>
    <n v="37.789473684210527"/>
    <n v="1527138000"/>
    <x v="182"/>
    <d v="2018-05-24T05:00:00"/>
    <b v="0"/>
    <b v="0"/>
    <s v="film &amp; video/television"/>
    <x v="4"/>
    <s v="television"/>
  </r>
  <r>
    <n v="186"/>
    <s v="Parker Group"/>
    <s v="Grass-roots foreground policy"/>
    <n v="88800"/>
    <n v="28358"/>
    <x v="0"/>
    <n v="886"/>
    <s v="US"/>
    <s v="USD"/>
    <n v="31.934684684684683"/>
    <n v="1400821200"/>
    <n v="32.006772009029348"/>
    <n v="1402117200"/>
    <x v="183"/>
    <d v="2014-06-07T05:00:00"/>
    <b v="0"/>
    <b v="0"/>
    <s v="theater/plays"/>
    <x v="3"/>
    <s v="plays"/>
  </r>
  <r>
    <n v="187"/>
    <s v="Fox Group"/>
    <s v="Horizontal transitional paradigm"/>
    <n v="60200"/>
    <n v="138384"/>
    <x v="1"/>
    <n v="1442"/>
    <s v="CA"/>
    <s v="CAD"/>
    <n v="229.87375415282392"/>
    <n v="1361599200"/>
    <n v="95.966712898751737"/>
    <n v="1364014800"/>
    <x v="184"/>
    <d v="2013-03-23T05:00:00"/>
    <b v="0"/>
    <b v="1"/>
    <s v="film &amp; video/shorts"/>
    <x v="4"/>
    <s v="shorts"/>
  </r>
  <r>
    <n v="188"/>
    <s v="Walker, Jones and Rodriguez"/>
    <s v="Networked didactic info-mediaries"/>
    <n v="8200"/>
    <n v="2625"/>
    <x v="0"/>
    <n v="35"/>
    <s v="IT"/>
    <s v="EUR"/>
    <n v="32.012195121951223"/>
    <n v="1417500000"/>
    <n v="75"/>
    <n v="1417586400"/>
    <x v="185"/>
    <d v="2014-12-03T06:00:00"/>
    <b v="0"/>
    <b v="0"/>
    <s v="theater/plays"/>
    <x v="3"/>
    <s v="plays"/>
  </r>
  <r>
    <n v="189"/>
    <s v="Anthony-Shaw"/>
    <s v="Switchable contextually-based access"/>
    <n v="191300"/>
    <n v="45004"/>
    <x v="3"/>
    <n v="441"/>
    <s v="US"/>
    <s v="USD"/>
    <n v="23.525352848928385"/>
    <n v="1457071200"/>
    <n v="102.0498866213152"/>
    <n v="1457071200"/>
    <x v="186"/>
    <d v="2016-03-04T06:00:00"/>
    <b v="0"/>
    <b v="0"/>
    <s v="theater/plays"/>
    <x v="3"/>
    <s v="plays"/>
  </r>
  <r>
    <n v="190"/>
    <s v="Cook LLC"/>
    <s v="Up-sized dynamic throughput"/>
    <n v="3700"/>
    <n v="2538"/>
    <x v="0"/>
    <n v="24"/>
    <s v="US"/>
    <s v="USD"/>
    <n v="68.594594594594597"/>
    <n v="1370322000"/>
    <n v="105.75"/>
    <n v="1370408400"/>
    <x v="187"/>
    <d v="2013-06-05T05:00:00"/>
    <b v="0"/>
    <b v="1"/>
    <s v="theater/plays"/>
    <x v="3"/>
    <s v="plays"/>
  </r>
  <r>
    <n v="191"/>
    <s v="Sutton PLC"/>
    <s v="Mandatory reciprocal superstructure"/>
    <n v="8400"/>
    <n v="3188"/>
    <x v="0"/>
    <n v="86"/>
    <s v="IT"/>
    <s v="EUR"/>
    <n v="37.952380952380956"/>
    <n v="1552366800"/>
    <n v="37.069767441860463"/>
    <n v="1552626000"/>
    <x v="188"/>
    <d v="2019-03-15T05:00:00"/>
    <b v="0"/>
    <b v="0"/>
    <s v="theater/plays"/>
    <x v="3"/>
    <s v="plays"/>
  </r>
  <r>
    <n v="192"/>
    <s v="Long, Morgan and Mitchell"/>
    <s v="Upgradable 4thgeneration productivity"/>
    <n v="42600"/>
    <n v="8517"/>
    <x v="0"/>
    <n v="243"/>
    <s v="US"/>
    <s v="USD"/>
    <n v="19.992957746478872"/>
    <n v="1403845200"/>
    <n v="35.049382716049379"/>
    <n v="1404190800"/>
    <x v="189"/>
    <d v="2014-07-01T05:00:00"/>
    <b v="0"/>
    <b v="0"/>
    <s v="music/rock"/>
    <x v="1"/>
    <s v="rock"/>
  </r>
  <r>
    <n v="193"/>
    <s v="Calhoun, Rogers and Long"/>
    <s v="Progressive discrete hub"/>
    <n v="6600"/>
    <n v="3012"/>
    <x v="0"/>
    <n v="65"/>
    <s v="US"/>
    <s v="USD"/>
    <n v="45.636363636363633"/>
    <n v="1523163600"/>
    <n v="46.338461538461537"/>
    <n v="1523509200"/>
    <x v="190"/>
    <d v="2018-04-12T05:00:00"/>
    <b v="1"/>
    <b v="0"/>
    <s v="music/indie rock"/>
    <x v="1"/>
    <s v="indie rock"/>
  </r>
  <r>
    <n v="194"/>
    <s v="Sandoval Group"/>
    <s v="Assimilated multi-tasking archive"/>
    <n v="7100"/>
    <n v="8716"/>
    <x v="1"/>
    <n v="126"/>
    <s v="US"/>
    <s v="USD"/>
    <n v="122.7605633802817"/>
    <n v="1442206800"/>
    <n v="69.174603174603178"/>
    <n v="1443589200"/>
    <x v="191"/>
    <d v="2015-09-30T05:00:00"/>
    <b v="0"/>
    <b v="0"/>
    <s v="music/metal"/>
    <x v="1"/>
    <s v="metal"/>
  </r>
  <r>
    <n v="195"/>
    <s v="Smith and Sons"/>
    <s v="Upgradable high-level solution"/>
    <n v="15800"/>
    <n v="57157"/>
    <x v="1"/>
    <n v="524"/>
    <s v="US"/>
    <s v="USD"/>
    <n v="361.75316455696202"/>
    <n v="1532840400"/>
    <n v="109.07824427480917"/>
    <n v="1533445200"/>
    <x v="192"/>
    <d v="2018-08-05T05:00:00"/>
    <b v="0"/>
    <b v="0"/>
    <s v="music/electric music"/>
    <x v="1"/>
    <s v="electric music"/>
  </r>
  <r>
    <n v="196"/>
    <s v="King Inc"/>
    <s v="Organic bandwidth-monitored frame"/>
    <n v="8200"/>
    <n v="5178"/>
    <x v="0"/>
    <n v="100"/>
    <s v="DK"/>
    <s v="DKK"/>
    <n v="63.146341463414636"/>
    <n v="1472878800"/>
    <n v="51.78"/>
    <n v="1474520400"/>
    <x v="173"/>
    <d v="2016-09-22T05:00:00"/>
    <b v="0"/>
    <b v="0"/>
    <s v="technology/wearables"/>
    <x v="2"/>
    <s v="wearables"/>
  </r>
  <r>
    <n v="197"/>
    <s v="Perry and Sons"/>
    <s v="Business-focused logistical framework"/>
    <n v="54700"/>
    <n v="163118"/>
    <x v="1"/>
    <n v="1989"/>
    <s v="US"/>
    <s v="USD"/>
    <n v="298.20475319926874"/>
    <n v="1498194000"/>
    <n v="82.010055304172951"/>
    <n v="1499403600"/>
    <x v="193"/>
    <d v="2017-07-07T05:00:00"/>
    <b v="0"/>
    <b v="0"/>
    <s v="film &amp; video/drama"/>
    <x v="4"/>
    <s v="drama"/>
  </r>
  <r>
    <n v="198"/>
    <s v="Palmer Inc"/>
    <s v="Universal multi-state capability"/>
    <n v="63200"/>
    <n v="6041"/>
    <x v="0"/>
    <n v="168"/>
    <s v="US"/>
    <s v="USD"/>
    <n v="9.5585443037974684"/>
    <n v="1281070800"/>
    <n v="35.958333333333336"/>
    <n v="1283576400"/>
    <x v="194"/>
    <d v="2010-09-04T05:00:00"/>
    <b v="0"/>
    <b v="0"/>
    <s v="music/electric music"/>
    <x v="1"/>
    <s v="electric music"/>
  </r>
  <r>
    <n v="199"/>
    <s v="Hull, Baker and Martinez"/>
    <s v="Digitized reciprocal infrastructure"/>
    <n v="1800"/>
    <n v="968"/>
    <x v="0"/>
    <n v="13"/>
    <s v="US"/>
    <s v="USD"/>
    <n v="53.777777777777779"/>
    <n v="1436245200"/>
    <n v="74.461538461538467"/>
    <n v="1436590800"/>
    <x v="195"/>
    <d v="2015-07-11T05:00:00"/>
    <b v="0"/>
    <b v="0"/>
    <s v="music/rock"/>
    <x v="1"/>
    <s v="rock"/>
  </r>
  <r>
    <n v="200"/>
    <s v="Becker, Rice and White"/>
    <s v="Reduced dedicated capability"/>
    <n v="100"/>
    <n v="2"/>
    <x v="0"/>
    <n v="1"/>
    <s v="CA"/>
    <s v="CAD"/>
    <n v="2"/>
    <n v="1269493200"/>
    <n v="2"/>
    <n v="1270443600"/>
    <x v="152"/>
    <d v="2010-04-05T05:00:00"/>
    <b v="0"/>
    <b v="0"/>
    <s v="theater/plays"/>
    <x v="3"/>
    <s v="plays"/>
  </r>
  <r>
    <n v="201"/>
    <s v="Osborne, Perkins and Knox"/>
    <s v="Cross-platform bi-directional workforce"/>
    <n v="2100"/>
    <n v="14305"/>
    <x v="1"/>
    <n v="157"/>
    <s v="US"/>
    <s v="USD"/>
    <n v="681.19047619047615"/>
    <n v="1406264400"/>
    <n v="91.114649681528661"/>
    <n v="1407819600"/>
    <x v="196"/>
    <d v="2014-08-12T05:00:00"/>
    <b v="0"/>
    <b v="0"/>
    <s v="technology/web"/>
    <x v="2"/>
    <s v="web"/>
  </r>
  <r>
    <n v="202"/>
    <s v="Mcknight-Freeman"/>
    <s v="Upgradable scalable methodology"/>
    <n v="8300"/>
    <n v="6543"/>
    <x v="3"/>
    <n v="82"/>
    <s v="US"/>
    <s v="USD"/>
    <n v="78.831325301204828"/>
    <n v="1317531600"/>
    <n v="79.792682926829272"/>
    <n v="1317877200"/>
    <x v="197"/>
    <d v="2011-10-06T05:00:00"/>
    <b v="0"/>
    <b v="0"/>
    <s v="food/food trucks"/>
    <x v="0"/>
    <s v="food trucks"/>
  </r>
  <r>
    <n v="203"/>
    <s v="Hayden, Shannon and Stein"/>
    <s v="Customer-focused client-server service-desk"/>
    <n v="143900"/>
    <n v="193413"/>
    <x v="1"/>
    <n v="4498"/>
    <s v="AU"/>
    <s v="AUD"/>
    <n v="134.40792216817235"/>
    <n v="1484632800"/>
    <n v="42.999777678968428"/>
    <n v="1484805600"/>
    <x v="198"/>
    <d v="2017-01-19T06:00:00"/>
    <b v="0"/>
    <b v="0"/>
    <s v="theater/plays"/>
    <x v="3"/>
    <s v="plays"/>
  </r>
  <r>
    <n v="204"/>
    <s v="Daniel-Luna"/>
    <s v="Mandatory multimedia leverage"/>
    <n v="75000"/>
    <n v="2529"/>
    <x v="0"/>
    <n v="40"/>
    <s v="US"/>
    <s v="USD"/>
    <n v="3.3719999999999999"/>
    <n v="1301806800"/>
    <n v="63.225000000000001"/>
    <n v="1302670800"/>
    <x v="199"/>
    <d v="2011-04-13T05:00:00"/>
    <b v="0"/>
    <b v="0"/>
    <s v="music/jazz"/>
    <x v="1"/>
    <s v="jazz"/>
  </r>
  <r>
    <n v="205"/>
    <s v="Weaver-Marquez"/>
    <s v="Focused analyzing circuit"/>
    <n v="1300"/>
    <n v="5614"/>
    <x v="1"/>
    <n v="80"/>
    <s v="US"/>
    <s v="USD"/>
    <n v="431.84615384615387"/>
    <n v="1539752400"/>
    <n v="70.174999999999997"/>
    <n v="1540789200"/>
    <x v="200"/>
    <d v="2018-10-29T05:00:00"/>
    <b v="1"/>
    <b v="0"/>
    <s v="theater/plays"/>
    <x v="3"/>
    <s v="plays"/>
  </r>
  <r>
    <n v="206"/>
    <s v="Austin, Baker and Kelley"/>
    <s v="Fundamental grid-enabled strategy"/>
    <n v="9000"/>
    <n v="3496"/>
    <x v="3"/>
    <n v="57"/>
    <s v="US"/>
    <s v="USD"/>
    <n v="38.844444444444441"/>
    <n v="1267250400"/>
    <n v="61.333333333333336"/>
    <n v="1268028000"/>
    <x v="201"/>
    <d v="2010-03-08T06:00:00"/>
    <b v="0"/>
    <b v="0"/>
    <s v="publishing/fiction"/>
    <x v="5"/>
    <s v="fiction"/>
  </r>
  <r>
    <n v="207"/>
    <s v="Carney-Anderson"/>
    <s v="Digitized 5thgeneration knowledgebase"/>
    <n v="1000"/>
    <n v="4257"/>
    <x v="1"/>
    <n v="43"/>
    <s v="US"/>
    <s v="USD"/>
    <n v="425.7"/>
    <n v="1535432400"/>
    <n v="99"/>
    <n v="1537160400"/>
    <x v="202"/>
    <d v="2018-09-17T05:00:00"/>
    <b v="0"/>
    <b v="1"/>
    <s v="music/rock"/>
    <x v="1"/>
    <s v="rock"/>
  </r>
  <r>
    <n v="208"/>
    <s v="Jackson Inc"/>
    <s v="Mandatory multi-tasking encryption"/>
    <n v="196900"/>
    <n v="199110"/>
    <x v="1"/>
    <n v="2053"/>
    <s v="US"/>
    <s v="USD"/>
    <n v="101.12239715591672"/>
    <n v="1510207200"/>
    <n v="96.984900146127615"/>
    <n v="1512280800"/>
    <x v="203"/>
    <d v="2017-12-03T06:00:00"/>
    <b v="0"/>
    <b v="0"/>
    <s v="film &amp; video/documentary"/>
    <x v="4"/>
    <s v="documentary"/>
  </r>
  <r>
    <n v="209"/>
    <s v="Warren Ltd"/>
    <s v="Distributed system-worthy application"/>
    <n v="194500"/>
    <n v="41212"/>
    <x v="2"/>
    <n v="808"/>
    <s v="AU"/>
    <s v="AUD"/>
    <n v="21.188688946015425"/>
    <n v="1462510800"/>
    <n v="51.004950495049506"/>
    <n v="1463115600"/>
    <x v="204"/>
    <d v="2016-05-13T05:00:00"/>
    <b v="0"/>
    <b v="0"/>
    <s v="film &amp; video/documentary"/>
    <x v="4"/>
    <s v="documentary"/>
  </r>
  <r>
    <n v="210"/>
    <s v="Schultz Inc"/>
    <s v="Synergistic tertiary time-frame"/>
    <n v="9400"/>
    <n v="6338"/>
    <x v="0"/>
    <n v="226"/>
    <s v="DK"/>
    <s v="DKK"/>
    <n v="67.425531914893625"/>
    <n v="1488520800"/>
    <n v="28.044247787610619"/>
    <n v="1490850000"/>
    <x v="205"/>
    <d v="2017-03-30T05:00:00"/>
    <b v="0"/>
    <b v="0"/>
    <s v="film &amp; video/science fiction"/>
    <x v="4"/>
    <s v="science fiction"/>
  </r>
  <r>
    <n v="211"/>
    <s v="Thompson LLC"/>
    <s v="Customer-focused impactful benchmark"/>
    <n v="104400"/>
    <n v="99100"/>
    <x v="0"/>
    <n v="1625"/>
    <s v="US"/>
    <s v="USD"/>
    <n v="94.923371647509583"/>
    <n v="1377579600"/>
    <n v="60.984615384615381"/>
    <n v="1379653200"/>
    <x v="206"/>
    <d v="2013-09-20T05:00:00"/>
    <b v="0"/>
    <b v="0"/>
    <s v="theater/plays"/>
    <x v="3"/>
    <s v="plays"/>
  </r>
  <r>
    <n v="212"/>
    <s v="Johnson Inc"/>
    <s v="Profound next generation infrastructure"/>
    <n v="8100"/>
    <n v="12300"/>
    <x v="1"/>
    <n v="168"/>
    <s v="US"/>
    <s v="USD"/>
    <n v="151.85185185185185"/>
    <n v="1576389600"/>
    <n v="73.214285714285708"/>
    <n v="1580364000"/>
    <x v="207"/>
    <d v="2020-01-30T06:00:00"/>
    <b v="0"/>
    <b v="0"/>
    <s v="theater/plays"/>
    <x v="3"/>
    <s v="plays"/>
  </r>
  <r>
    <n v="213"/>
    <s v="Morgan-Warren"/>
    <s v="Face-to-face encompassing info-mediaries"/>
    <n v="87900"/>
    <n v="171549"/>
    <x v="1"/>
    <n v="4289"/>
    <s v="US"/>
    <s v="USD"/>
    <n v="195.16382252559728"/>
    <n v="1289019600"/>
    <n v="39.997435299603637"/>
    <n v="1289714400"/>
    <x v="208"/>
    <d v="2010-11-14T06:00:00"/>
    <b v="0"/>
    <b v="1"/>
    <s v="music/indie rock"/>
    <x v="1"/>
    <s v="indie rock"/>
  </r>
  <r>
    <n v="214"/>
    <s v="Sullivan Group"/>
    <s v="Open-source fresh-thinking policy"/>
    <n v="1400"/>
    <n v="14324"/>
    <x v="1"/>
    <n v="165"/>
    <s v="US"/>
    <s v="USD"/>
    <n v="1023.1428571428571"/>
    <n v="1282194000"/>
    <n v="86.812121212121212"/>
    <n v="1282712400"/>
    <x v="209"/>
    <d v="2010-08-25T05:00:00"/>
    <b v="0"/>
    <b v="0"/>
    <s v="music/rock"/>
    <x v="1"/>
    <s v="rock"/>
  </r>
  <r>
    <n v="215"/>
    <s v="Vargas, Banks and Palmer"/>
    <s v="Extended 24/7 implementation"/>
    <n v="156800"/>
    <n v="6024"/>
    <x v="0"/>
    <n v="143"/>
    <s v="US"/>
    <s v="USD"/>
    <n v="3.841836734693878"/>
    <n v="1550037600"/>
    <n v="42.125874125874127"/>
    <n v="1550210400"/>
    <x v="210"/>
    <d v="2019-02-15T06:00:00"/>
    <b v="0"/>
    <b v="0"/>
    <s v="theater/plays"/>
    <x v="3"/>
    <s v="plays"/>
  </r>
  <r>
    <n v="216"/>
    <s v="Johnson, Dixon and Zimmerman"/>
    <s v="Organic dynamic algorithm"/>
    <n v="121700"/>
    <n v="188721"/>
    <x v="1"/>
    <n v="1815"/>
    <s v="US"/>
    <s v="USD"/>
    <n v="155.07066557107643"/>
    <n v="1321941600"/>
    <n v="103.97851239669421"/>
    <n v="1322114400"/>
    <x v="211"/>
    <d v="2011-11-24T06:00:00"/>
    <b v="0"/>
    <b v="0"/>
    <s v="theater/plays"/>
    <x v="3"/>
    <s v="plays"/>
  </r>
  <r>
    <n v="217"/>
    <s v="Moore, Dudley and Navarro"/>
    <s v="Organic multi-tasking focus group"/>
    <n v="129400"/>
    <n v="57911"/>
    <x v="0"/>
    <n v="934"/>
    <s v="US"/>
    <s v="USD"/>
    <n v="44.753477588871718"/>
    <n v="1556427600"/>
    <n v="62.003211991434689"/>
    <n v="1557205200"/>
    <x v="212"/>
    <d v="2019-05-07T05:00:00"/>
    <b v="0"/>
    <b v="0"/>
    <s v="film &amp; video/science fiction"/>
    <x v="4"/>
    <s v="science fiction"/>
  </r>
  <r>
    <n v="218"/>
    <s v="Price-Rodriguez"/>
    <s v="Adaptive logistical initiative"/>
    <n v="5700"/>
    <n v="12309"/>
    <x v="1"/>
    <n v="397"/>
    <s v="GB"/>
    <s v="GBP"/>
    <n v="215.94736842105263"/>
    <n v="1320991200"/>
    <n v="31.005037783375315"/>
    <n v="1323928800"/>
    <x v="213"/>
    <d v="2011-12-15T06:00:00"/>
    <b v="0"/>
    <b v="1"/>
    <s v="film &amp; video/shorts"/>
    <x v="4"/>
    <s v="shorts"/>
  </r>
  <r>
    <n v="219"/>
    <s v="Huang-Henderson"/>
    <s v="Stand-alone mobile customer loyalty"/>
    <n v="41700"/>
    <n v="138497"/>
    <x v="1"/>
    <n v="1539"/>
    <s v="US"/>
    <s v="USD"/>
    <n v="332.12709832134288"/>
    <n v="1345093200"/>
    <n v="89.991552956465242"/>
    <n v="1346130000"/>
    <x v="214"/>
    <d v="2012-08-28T05:00:00"/>
    <b v="0"/>
    <b v="0"/>
    <s v="film &amp; video/animation"/>
    <x v="4"/>
    <s v="animation"/>
  </r>
  <r>
    <n v="220"/>
    <s v="Owens-Le"/>
    <s v="Focused composite approach"/>
    <n v="7900"/>
    <n v="667"/>
    <x v="0"/>
    <n v="17"/>
    <s v="US"/>
    <s v="USD"/>
    <n v="8.4430379746835449"/>
    <n v="1309496400"/>
    <n v="39.235294117647058"/>
    <n v="1311051600"/>
    <x v="215"/>
    <d v="2011-07-19T05:00:00"/>
    <b v="1"/>
    <b v="0"/>
    <s v="theater/plays"/>
    <x v="3"/>
    <s v="plays"/>
  </r>
  <r>
    <n v="221"/>
    <s v="Huff LLC"/>
    <s v="Face-to-face clear-thinking Local Area Network"/>
    <n v="121500"/>
    <n v="119830"/>
    <x v="0"/>
    <n v="2179"/>
    <s v="US"/>
    <s v="USD"/>
    <n v="98.625514403292186"/>
    <n v="1340254800"/>
    <n v="54.993116108306566"/>
    <n v="1340427600"/>
    <x v="216"/>
    <d v="2012-06-23T05:00:00"/>
    <b v="1"/>
    <b v="0"/>
    <s v="food/food trucks"/>
    <x v="0"/>
    <s v="food trucks"/>
  </r>
  <r>
    <n v="222"/>
    <s v="Johnson LLC"/>
    <s v="Cross-group cohesive circuit"/>
    <n v="4800"/>
    <n v="6623"/>
    <x v="1"/>
    <n v="138"/>
    <s v="US"/>
    <s v="USD"/>
    <n v="137.97916666666669"/>
    <n v="1412226000"/>
    <n v="47.992753623188406"/>
    <n v="1412312400"/>
    <x v="217"/>
    <d v="2014-10-03T05:00:00"/>
    <b v="0"/>
    <b v="0"/>
    <s v="photography/photography books"/>
    <x v="7"/>
    <s v="photography books"/>
  </r>
  <r>
    <n v="223"/>
    <s v="Chavez, Garcia and Cantu"/>
    <s v="Synergistic explicit capability"/>
    <n v="87300"/>
    <n v="81897"/>
    <x v="0"/>
    <n v="931"/>
    <s v="US"/>
    <s v="USD"/>
    <n v="93.81099656357388"/>
    <n v="1458104400"/>
    <n v="87.966702470461868"/>
    <n v="1459314000"/>
    <x v="218"/>
    <d v="2016-03-30T05:00:00"/>
    <b v="0"/>
    <b v="0"/>
    <s v="theater/plays"/>
    <x v="3"/>
    <s v="plays"/>
  </r>
  <r>
    <n v="224"/>
    <s v="Lester-Moore"/>
    <s v="Diverse analyzing definition"/>
    <n v="46300"/>
    <n v="186885"/>
    <x v="1"/>
    <n v="3594"/>
    <s v="US"/>
    <s v="USD"/>
    <n v="403.63930885529157"/>
    <n v="1411534800"/>
    <n v="51.999165275459099"/>
    <n v="1415426400"/>
    <x v="219"/>
    <d v="2014-11-08T06:00:00"/>
    <b v="0"/>
    <b v="0"/>
    <s v="film &amp; video/science fiction"/>
    <x v="4"/>
    <s v="science fiction"/>
  </r>
  <r>
    <n v="225"/>
    <s v="Fox-Quinn"/>
    <s v="Enterprise-wide reciprocal success"/>
    <n v="67800"/>
    <n v="176398"/>
    <x v="1"/>
    <n v="5880"/>
    <s v="US"/>
    <s v="USD"/>
    <n v="260.1740412979351"/>
    <n v="1399093200"/>
    <n v="29.999659863945578"/>
    <n v="1399093200"/>
    <x v="220"/>
    <d v="2014-05-03T05:00:00"/>
    <b v="1"/>
    <b v="0"/>
    <s v="music/rock"/>
    <x v="1"/>
    <s v="rock"/>
  </r>
  <r>
    <n v="226"/>
    <s v="Garcia Inc"/>
    <s v="Progressive neutral middleware"/>
    <n v="3000"/>
    <n v="10999"/>
    <x v="1"/>
    <n v="112"/>
    <s v="US"/>
    <s v="USD"/>
    <n v="366.63333333333333"/>
    <n v="1270702800"/>
    <n v="98.205357142857139"/>
    <n v="1273899600"/>
    <x v="221"/>
    <d v="2010-05-15T05:00:00"/>
    <b v="0"/>
    <b v="0"/>
    <s v="photography/photography books"/>
    <x v="7"/>
    <s v="photography books"/>
  </r>
  <r>
    <n v="227"/>
    <s v="Johnson-Lee"/>
    <s v="Intuitive exuding process improvement"/>
    <n v="60900"/>
    <n v="102751"/>
    <x v="1"/>
    <n v="943"/>
    <s v="US"/>
    <s v="USD"/>
    <n v="168.72085385878489"/>
    <n v="1431666000"/>
    <n v="108.96182396606575"/>
    <n v="1432184400"/>
    <x v="222"/>
    <d v="2015-05-21T05:00:00"/>
    <b v="0"/>
    <b v="0"/>
    <s v="games/mobile games"/>
    <x v="6"/>
    <s v="mobile games"/>
  </r>
  <r>
    <n v="228"/>
    <s v="Pineda Group"/>
    <s v="Exclusive real-time protocol"/>
    <n v="137900"/>
    <n v="165352"/>
    <x v="1"/>
    <n v="2468"/>
    <s v="US"/>
    <s v="USD"/>
    <n v="119.90717911530093"/>
    <n v="1472619600"/>
    <n v="66.998379254457049"/>
    <n v="1474779600"/>
    <x v="172"/>
    <d v="2016-09-25T05:00:00"/>
    <b v="0"/>
    <b v="0"/>
    <s v="film &amp; video/animation"/>
    <x v="4"/>
    <s v="animation"/>
  </r>
  <r>
    <n v="229"/>
    <s v="Hoffman-Howard"/>
    <s v="Extended encompassing application"/>
    <n v="85600"/>
    <n v="165798"/>
    <x v="1"/>
    <n v="2551"/>
    <s v="US"/>
    <s v="USD"/>
    <n v="193.68925233644859"/>
    <n v="1496293200"/>
    <n v="64.99333594668758"/>
    <n v="1500440400"/>
    <x v="223"/>
    <d v="2017-07-19T05:00:00"/>
    <b v="0"/>
    <b v="1"/>
    <s v="games/mobile games"/>
    <x v="6"/>
    <s v="mobile games"/>
  </r>
  <r>
    <n v="230"/>
    <s v="Miranda, Hall and Mcgrath"/>
    <s v="Progressive value-added ability"/>
    <n v="2400"/>
    <n v="10084"/>
    <x v="1"/>
    <n v="101"/>
    <s v="US"/>
    <s v="USD"/>
    <n v="420.16666666666669"/>
    <n v="1575612000"/>
    <n v="99.841584158415841"/>
    <n v="1575612000"/>
    <x v="224"/>
    <d v="2019-12-06T06:00:00"/>
    <b v="0"/>
    <b v="0"/>
    <s v="games/video games"/>
    <x v="6"/>
    <s v="video games"/>
  </r>
  <r>
    <n v="231"/>
    <s v="Williams, Carter and Gonzalez"/>
    <s v="Cross-platform uniform hardware"/>
    <n v="7200"/>
    <n v="5523"/>
    <x v="3"/>
    <n v="67"/>
    <s v="US"/>
    <s v="USD"/>
    <n v="76.708333333333329"/>
    <n v="1369112400"/>
    <n v="82.432835820895519"/>
    <n v="1374123600"/>
    <x v="225"/>
    <d v="2013-07-18T05:00:00"/>
    <b v="0"/>
    <b v="0"/>
    <s v="theater/plays"/>
    <x v="3"/>
    <s v="plays"/>
  </r>
  <r>
    <n v="232"/>
    <s v="Davis-Rodriguez"/>
    <s v="Progressive secondary portal"/>
    <n v="3400"/>
    <n v="5823"/>
    <x v="1"/>
    <n v="92"/>
    <s v="US"/>
    <s v="USD"/>
    <n v="171.26470588235293"/>
    <n v="1469422800"/>
    <n v="63.293478260869563"/>
    <n v="1469509200"/>
    <x v="226"/>
    <d v="2016-07-26T05:00:00"/>
    <b v="0"/>
    <b v="0"/>
    <s v="theater/plays"/>
    <x v="3"/>
    <s v="plays"/>
  </r>
  <r>
    <n v="233"/>
    <s v="Reid, Rivera and Perry"/>
    <s v="Multi-lateral national adapter"/>
    <n v="3800"/>
    <n v="6000"/>
    <x v="1"/>
    <n v="62"/>
    <s v="US"/>
    <s v="USD"/>
    <n v="157.89473684210526"/>
    <n v="1307854800"/>
    <n v="96.774193548387103"/>
    <n v="1309237200"/>
    <x v="227"/>
    <d v="2011-06-28T05:00:00"/>
    <b v="0"/>
    <b v="0"/>
    <s v="film &amp; video/animation"/>
    <x v="4"/>
    <s v="animation"/>
  </r>
  <r>
    <n v="234"/>
    <s v="Mendoza-Parker"/>
    <s v="Enterprise-wide motivating matrices"/>
    <n v="7500"/>
    <n v="8181"/>
    <x v="1"/>
    <n v="149"/>
    <s v="IT"/>
    <s v="EUR"/>
    <n v="109.08"/>
    <n v="1503378000"/>
    <n v="54.906040268456373"/>
    <n v="1503982800"/>
    <x v="228"/>
    <d v="2017-08-29T05:00:00"/>
    <b v="0"/>
    <b v="1"/>
    <s v="games/video games"/>
    <x v="6"/>
    <s v="video games"/>
  </r>
  <r>
    <n v="235"/>
    <s v="Lee, Ali and Guzman"/>
    <s v="Polarized upward-trending Local Area Network"/>
    <n v="8600"/>
    <n v="3589"/>
    <x v="0"/>
    <n v="92"/>
    <s v="US"/>
    <s v="USD"/>
    <n v="41.732558139534881"/>
    <n v="1486965600"/>
    <n v="39.010869565217391"/>
    <n v="1487397600"/>
    <x v="229"/>
    <d v="2017-02-18T06:00:00"/>
    <b v="0"/>
    <b v="0"/>
    <s v="film &amp; video/animation"/>
    <x v="4"/>
    <s v="animation"/>
  </r>
  <r>
    <n v="236"/>
    <s v="Gallegos-Cobb"/>
    <s v="Object-based directional function"/>
    <n v="39500"/>
    <n v="4323"/>
    <x v="0"/>
    <n v="57"/>
    <s v="AU"/>
    <s v="AUD"/>
    <n v="10.944303797468354"/>
    <n v="1561438800"/>
    <n v="75.84210526315789"/>
    <n v="1562043600"/>
    <x v="230"/>
    <d v="2019-07-02T05:00:00"/>
    <b v="0"/>
    <b v="1"/>
    <s v="music/rock"/>
    <x v="1"/>
    <s v="rock"/>
  </r>
  <r>
    <n v="237"/>
    <s v="Ellison PLC"/>
    <s v="Re-contextualized tangible open architecture"/>
    <n v="9300"/>
    <n v="14822"/>
    <x v="1"/>
    <n v="329"/>
    <s v="US"/>
    <s v="USD"/>
    <n v="159.3763440860215"/>
    <n v="1398402000"/>
    <n v="45.051671732522799"/>
    <n v="1398574800"/>
    <x v="231"/>
    <d v="2014-04-27T05:00:00"/>
    <b v="0"/>
    <b v="0"/>
    <s v="film &amp; video/animation"/>
    <x v="4"/>
    <s v="animation"/>
  </r>
  <r>
    <n v="238"/>
    <s v="Bolton, Sanchez and Carrillo"/>
    <s v="Distributed systemic adapter"/>
    <n v="2400"/>
    <n v="10138"/>
    <x v="1"/>
    <n v="97"/>
    <s v="DK"/>
    <s v="DKK"/>
    <n v="422.41666666666669"/>
    <n v="1513231200"/>
    <n v="104.51546391752578"/>
    <n v="1515391200"/>
    <x v="232"/>
    <d v="2018-01-08T06:00:00"/>
    <b v="0"/>
    <b v="1"/>
    <s v="theater/plays"/>
    <x v="3"/>
    <s v="plays"/>
  </r>
  <r>
    <n v="239"/>
    <s v="Mason-Sanders"/>
    <s v="Networked web-enabled instruction set"/>
    <n v="3200"/>
    <n v="3127"/>
    <x v="0"/>
    <n v="41"/>
    <s v="US"/>
    <s v="USD"/>
    <n v="97.71875"/>
    <n v="1440824400"/>
    <n v="76.268292682926827"/>
    <n v="1441170000"/>
    <x v="233"/>
    <d v="2015-09-02T05:00:00"/>
    <b v="0"/>
    <b v="0"/>
    <s v="technology/wearables"/>
    <x v="2"/>
    <s v="wearables"/>
  </r>
  <r>
    <n v="240"/>
    <s v="Pitts-Reed"/>
    <s v="Vision-oriented dynamic service-desk"/>
    <n v="29400"/>
    <n v="123124"/>
    <x v="1"/>
    <n v="1784"/>
    <s v="US"/>
    <s v="USD"/>
    <n v="418.78911564625849"/>
    <n v="1281070800"/>
    <n v="69.015695067264573"/>
    <n v="1281157200"/>
    <x v="194"/>
    <d v="2010-08-07T05:00:00"/>
    <b v="0"/>
    <b v="0"/>
    <s v="theater/plays"/>
    <x v="3"/>
    <s v="plays"/>
  </r>
  <r>
    <n v="241"/>
    <s v="Gonzalez-Martinez"/>
    <s v="Vision-oriented actuating open system"/>
    <n v="168500"/>
    <n v="171729"/>
    <x v="1"/>
    <n v="1684"/>
    <s v="AU"/>
    <s v="AUD"/>
    <n v="101.91632047477745"/>
    <n v="1397365200"/>
    <n v="101.97684085510689"/>
    <n v="1398229200"/>
    <x v="234"/>
    <d v="2014-04-23T05:00:00"/>
    <b v="0"/>
    <b v="1"/>
    <s v="publishing/nonfiction"/>
    <x v="5"/>
    <s v="nonfiction"/>
  </r>
  <r>
    <n v="242"/>
    <s v="Hill, Martin and Garcia"/>
    <s v="Sharable scalable core"/>
    <n v="8400"/>
    <n v="10729"/>
    <x v="1"/>
    <n v="250"/>
    <s v="US"/>
    <s v="USD"/>
    <n v="127.72619047619047"/>
    <n v="1494392400"/>
    <n v="42.915999999999997"/>
    <n v="1495256400"/>
    <x v="235"/>
    <d v="2017-05-20T05:00:00"/>
    <b v="0"/>
    <b v="1"/>
    <s v="music/rock"/>
    <x v="1"/>
    <s v="rock"/>
  </r>
  <r>
    <n v="243"/>
    <s v="Garcia PLC"/>
    <s v="Customer-focused attitude-oriented function"/>
    <n v="2300"/>
    <n v="10240"/>
    <x v="1"/>
    <n v="238"/>
    <s v="US"/>
    <s v="USD"/>
    <n v="445.21739130434781"/>
    <n v="1520143200"/>
    <n v="43.025210084033617"/>
    <n v="1520402400"/>
    <x v="236"/>
    <d v="2018-03-07T06:00:00"/>
    <b v="0"/>
    <b v="0"/>
    <s v="theater/plays"/>
    <x v="3"/>
    <s v="plays"/>
  </r>
  <r>
    <n v="244"/>
    <s v="Herring-Bailey"/>
    <s v="Reverse-engineered system-worthy extranet"/>
    <n v="700"/>
    <n v="3988"/>
    <x v="1"/>
    <n v="53"/>
    <s v="US"/>
    <s v="USD"/>
    <n v="569.71428571428578"/>
    <n v="1405314000"/>
    <n v="75.245283018867923"/>
    <n v="1409806800"/>
    <x v="237"/>
    <d v="2014-09-04T05:00:00"/>
    <b v="0"/>
    <b v="0"/>
    <s v="theater/plays"/>
    <x v="3"/>
    <s v="plays"/>
  </r>
  <r>
    <n v="245"/>
    <s v="Russell-Gardner"/>
    <s v="Re-engineered systematic monitoring"/>
    <n v="2900"/>
    <n v="14771"/>
    <x v="1"/>
    <n v="214"/>
    <s v="US"/>
    <s v="USD"/>
    <n v="509.34482758620686"/>
    <n v="1396846800"/>
    <n v="69.023364485981304"/>
    <n v="1396933200"/>
    <x v="238"/>
    <d v="2014-04-08T05:00:00"/>
    <b v="0"/>
    <b v="0"/>
    <s v="theater/plays"/>
    <x v="3"/>
    <s v="plays"/>
  </r>
  <r>
    <n v="246"/>
    <s v="Walters-Carter"/>
    <s v="Seamless value-added standardization"/>
    <n v="4500"/>
    <n v="14649"/>
    <x v="1"/>
    <n v="222"/>
    <s v="US"/>
    <s v="USD"/>
    <n v="325.5333333333333"/>
    <n v="1375678800"/>
    <n v="65.986486486486484"/>
    <n v="1376024400"/>
    <x v="239"/>
    <d v="2013-08-09T05:00:00"/>
    <b v="0"/>
    <b v="0"/>
    <s v="technology/web"/>
    <x v="2"/>
    <s v="web"/>
  </r>
  <r>
    <n v="247"/>
    <s v="Johnson, Patterson and Montoya"/>
    <s v="Triple-buffered fresh-thinking frame"/>
    <n v="19800"/>
    <n v="184658"/>
    <x v="1"/>
    <n v="1884"/>
    <s v="US"/>
    <s v="USD"/>
    <n v="932.61616161616166"/>
    <n v="1482386400"/>
    <n v="98.013800424628457"/>
    <n v="1483682400"/>
    <x v="240"/>
    <d v="2017-01-06T06:00:00"/>
    <b v="0"/>
    <b v="1"/>
    <s v="publishing/fiction"/>
    <x v="5"/>
    <s v="fiction"/>
  </r>
  <r>
    <n v="248"/>
    <s v="Roberts and Sons"/>
    <s v="Streamlined holistic knowledgebase"/>
    <n v="6200"/>
    <n v="13103"/>
    <x v="1"/>
    <n v="218"/>
    <s v="AU"/>
    <s v="AUD"/>
    <n v="211.33870967741933"/>
    <n v="1420005600"/>
    <n v="60.105504587155963"/>
    <n v="1420437600"/>
    <x v="241"/>
    <d v="2015-01-05T06:00:00"/>
    <b v="0"/>
    <b v="0"/>
    <s v="games/mobile games"/>
    <x v="6"/>
    <s v="mobile games"/>
  </r>
  <r>
    <n v="249"/>
    <s v="Avila-Nelson"/>
    <s v="Up-sized intermediate website"/>
    <n v="61500"/>
    <n v="168095"/>
    <x v="1"/>
    <n v="6465"/>
    <s v="US"/>
    <s v="USD"/>
    <n v="273.32520325203251"/>
    <n v="1420178400"/>
    <n v="26.000773395204948"/>
    <n v="1420783200"/>
    <x v="242"/>
    <d v="2015-01-09T06:00:00"/>
    <b v="0"/>
    <b v="0"/>
    <s v="publishing/translations"/>
    <x v="5"/>
    <s v="translations"/>
  </r>
  <r>
    <n v="250"/>
    <s v="Robbins and Sons"/>
    <s v="Future-proofed directional synergy"/>
    <n v="100"/>
    <n v="3"/>
    <x v="0"/>
    <n v="1"/>
    <s v="US"/>
    <s v="USD"/>
    <n v="3"/>
    <n v="1264399200"/>
    <n v="3"/>
    <n v="1267423200"/>
    <x v="67"/>
    <d v="2010-03-01T06:00:00"/>
    <b v="0"/>
    <b v="0"/>
    <s v="music/rock"/>
    <x v="1"/>
    <s v="rock"/>
  </r>
  <r>
    <n v="251"/>
    <s v="Singleton Ltd"/>
    <s v="Enhanced user-facing function"/>
    <n v="7100"/>
    <n v="3840"/>
    <x v="0"/>
    <n v="101"/>
    <s v="US"/>
    <s v="USD"/>
    <n v="54.084507042253513"/>
    <n v="1355032800"/>
    <n v="38.019801980198018"/>
    <n v="1355205600"/>
    <x v="243"/>
    <d v="2012-12-11T06:00:00"/>
    <b v="0"/>
    <b v="0"/>
    <s v="theater/plays"/>
    <x v="3"/>
    <s v="plays"/>
  </r>
  <r>
    <n v="252"/>
    <s v="Perez PLC"/>
    <s v="Operative bandwidth-monitored interface"/>
    <n v="1000"/>
    <n v="6263"/>
    <x v="1"/>
    <n v="59"/>
    <s v="US"/>
    <s v="USD"/>
    <n v="626.29999999999995"/>
    <n v="1382677200"/>
    <n v="106.15254237288136"/>
    <n v="1383109200"/>
    <x v="244"/>
    <d v="2013-10-30T05:00:00"/>
    <b v="0"/>
    <b v="0"/>
    <s v="theater/plays"/>
    <x v="3"/>
    <s v="plays"/>
  </r>
  <r>
    <n v="253"/>
    <s v="Rogers, Jacobs and Jackson"/>
    <s v="Upgradable multi-state instruction set"/>
    <n v="121500"/>
    <n v="108161"/>
    <x v="0"/>
    <n v="1335"/>
    <s v="CA"/>
    <s v="CAD"/>
    <n v="89.021399176954731"/>
    <n v="1302238800"/>
    <n v="81.019475655430711"/>
    <n v="1303275600"/>
    <x v="245"/>
    <d v="2011-04-20T05:00:00"/>
    <b v="0"/>
    <b v="0"/>
    <s v="film &amp; video/drama"/>
    <x v="4"/>
    <s v="drama"/>
  </r>
  <r>
    <n v="254"/>
    <s v="Barry Group"/>
    <s v="De-engineered static Local Area Network"/>
    <n v="4600"/>
    <n v="8505"/>
    <x v="1"/>
    <n v="88"/>
    <s v="US"/>
    <s v="USD"/>
    <n v="184.89130434782609"/>
    <n v="1487656800"/>
    <n v="96.647727272727266"/>
    <n v="1487829600"/>
    <x v="246"/>
    <d v="2017-02-23T06:00:00"/>
    <b v="0"/>
    <b v="0"/>
    <s v="publishing/nonfiction"/>
    <x v="5"/>
    <s v="nonfiction"/>
  </r>
  <r>
    <n v="255"/>
    <s v="Rosales, Branch and Harmon"/>
    <s v="Upgradable grid-enabled superstructure"/>
    <n v="80500"/>
    <n v="96735"/>
    <x v="1"/>
    <n v="1697"/>
    <s v="US"/>
    <s v="USD"/>
    <n v="120.16770186335404"/>
    <n v="1297836000"/>
    <n v="57.003535651149086"/>
    <n v="1298268000"/>
    <x v="247"/>
    <d v="2011-02-21T06:00:00"/>
    <b v="0"/>
    <b v="1"/>
    <s v="music/rock"/>
    <x v="1"/>
    <s v="rock"/>
  </r>
  <r>
    <n v="256"/>
    <s v="Smith-Reid"/>
    <s v="Optimized actuating toolset"/>
    <n v="4100"/>
    <n v="959"/>
    <x v="0"/>
    <n v="15"/>
    <s v="GB"/>
    <s v="GBP"/>
    <n v="23.390243902439025"/>
    <n v="1453615200"/>
    <n v="63.93333333333333"/>
    <n v="1456812000"/>
    <x v="248"/>
    <d v="2016-03-01T06:00:00"/>
    <b v="0"/>
    <b v="0"/>
    <s v="music/rock"/>
    <x v="1"/>
    <s v="rock"/>
  </r>
  <r>
    <n v="257"/>
    <s v="Williams Inc"/>
    <s v="Decentralized exuding strategy"/>
    <n v="5700"/>
    <n v="8322"/>
    <x v="1"/>
    <n v="92"/>
    <s v="US"/>
    <s v="USD"/>
    <n v="146"/>
    <n v="1362463200"/>
    <n v="90.456521739130437"/>
    <n v="1363669200"/>
    <x v="249"/>
    <d v="2013-03-19T05:00:00"/>
    <b v="0"/>
    <b v="0"/>
    <s v="theater/plays"/>
    <x v="3"/>
    <s v="plays"/>
  </r>
  <r>
    <n v="258"/>
    <s v="Duncan, Mcdonald and Miller"/>
    <s v="Assimilated coherent hardware"/>
    <n v="5000"/>
    <n v="13424"/>
    <x v="1"/>
    <n v="186"/>
    <s v="US"/>
    <s v="USD"/>
    <n v="268.48"/>
    <n v="1481176800"/>
    <n v="72.172043010752688"/>
    <n v="1482904800"/>
    <x v="250"/>
    <d v="2016-12-28T06:00:00"/>
    <b v="0"/>
    <b v="1"/>
    <s v="theater/plays"/>
    <x v="3"/>
    <s v="plays"/>
  </r>
  <r>
    <n v="259"/>
    <s v="Watkins Ltd"/>
    <s v="Multi-channeled responsive implementation"/>
    <n v="1800"/>
    <n v="10755"/>
    <x v="1"/>
    <n v="138"/>
    <s v="US"/>
    <s v="USD"/>
    <n v="597.5"/>
    <n v="1354946400"/>
    <n v="77.934782608695656"/>
    <n v="1356588000"/>
    <x v="251"/>
    <d v="2012-12-27T06:00:00"/>
    <b v="1"/>
    <b v="0"/>
    <s v="photography/photography books"/>
    <x v="7"/>
    <s v="photography books"/>
  </r>
  <r>
    <n v="260"/>
    <s v="Allen-Jones"/>
    <s v="Centralized modular initiative"/>
    <n v="6300"/>
    <n v="9935"/>
    <x v="1"/>
    <n v="261"/>
    <s v="US"/>
    <s v="USD"/>
    <n v="157.69841269841268"/>
    <n v="1348808400"/>
    <n v="38.065134099616856"/>
    <n v="1349845200"/>
    <x v="136"/>
    <d v="2012-10-10T05:00:00"/>
    <b v="0"/>
    <b v="0"/>
    <s v="music/rock"/>
    <x v="1"/>
    <s v="rock"/>
  </r>
  <r>
    <n v="261"/>
    <s v="Mason-Smith"/>
    <s v="Reverse-engineered cohesive migration"/>
    <n v="84300"/>
    <n v="26303"/>
    <x v="0"/>
    <n v="454"/>
    <s v="US"/>
    <s v="USD"/>
    <n v="31.201660735468568"/>
    <n v="1282712400"/>
    <n v="57.936123348017624"/>
    <n v="1283058000"/>
    <x v="252"/>
    <d v="2010-08-29T05:00:00"/>
    <b v="0"/>
    <b v="1"/>
    <s v="music/rock"/>
    <x v="1"/>
    <s v="rock"/>
  </r>
  <r>
    <n v="262"/>
    <s v="Lloyd, Kennedy and Davis"/>
    <s v="Compatible multimedia hub"/>
    <n v="1700"/>
    <n v="5328"/>
    <x v="1"/>
    <n v="107"/>
    <s v="US"/>
    <s v="USD"/>
    <n v="313.41176470588238"/>
    <n v="1301979600"/>
    <n v="49.794392523364486"/>
    <n v="1304226000"/>
    <x v="253"/>
    <d v="2011-05-01T05:00:00"/>
    <b v="0"/>
    <b v="1"/>
    <s v="music/indie rock"/>
    <x v="1"/>
    <s v="indie rock"/>
  </r>
  <r>
    <n v="263"/>
    <s v="Walker Ltd"/>
    <s v="Organic eco-centric success"/>
    <n v="2900"/>
    <n v="10756"/>
    <x v="1"/>
    <n v="199"/>
    <s v="US"/>
    <s v="USD"/>
    <n v="370.89655172413791"/>
    <n v="1263016800"/>
    <n v="54.050251256281406"/>
    <n v="1263016800"/>
    <x v="254"/>
    <d v="2010-01-09T06:00:00"/>
    <b v="0"/>
    <b v="0"/>
    <s v="photography/photography books"/>
    <x v="7"/>
    <s v="photography books"/>
  </r>
  <r>
    <n v="264"/>
    <s v="Gordon PLC"/>
    <s v="Virtual reciprocal policy"/>
    <n v="45600"/>
    <n v="165375"/>
    <x v="1"/>
    <n v="5512"/>
    <s v="US"/>
    <s v="USD"/>
    <n v="362.66447368421052"/>
    <n v="1360648800"/>
    <n v="30.002721335268504"/>
    <n v="1362031200"/>
    <x v="255"/>
    <d v="2013-02-28T06:00:00"/>
    <b v="0"/>
    <b v="0"/>
    <s v="theater/plays"/>
    <x v="3"/>
    <s v="plays"/>
  </r>
  <r>
    <n v="265"/>
    <s v="Lee and Sons"/>
    <s v="Persevering interactive emulation"/>
    <n v="4900"/>
    <n v="6031"/>
    <x v="1"/>
    <n v="86"/>
    <s v="US"/>
    <s v="USD"/>
    <n v="123.08163265306122"/>
    <n v="1451800800"/>
    <n v="70.127906976744185"/>
    <n v="1455602400"/>
    <x v="256"/>
    <d v="2016-02-16T06:00:00"/>
    <b v="0"/>
    <b v="0"/>
    <s v="theater/plays"/>
    <x v="3"/>
    <s v="plays"/>
  </r>
  <r>
    <n v="266"/>
    <s v="Cole LLC"/>
    <s v="Proactive responsive emulation"/>
    <n v="111900"/>
    <n v="85902"/>
    <x v="0"/>
    <n v="3182"/>
    <s v="IT"/>
    <s v="EUR"/>
    <n v="76.766756032171585"/>
    <n v="1415340000"/>
    <n v="26.996228786926462"/>
    <n v="1418191200"/>
    <x v="257"/>
    <d v="2014-12-10T06:00:00"/>
    <b v="0"/>
    <b v="1"/>
    <s v="music/jazz"/>
    <x v="1"/>
    <s v="jazz"/>
  </r>
  <r>
    <n v="267"/>
    <s v="Acosta PLC"/>
    <s v="Extended eco-centric function"/>
    <n v="61600"/>
    <n v="143910"/>
    <x v="1"/>
    <n v="2768"/>
    <s v="AU"/>
    <s v="AUD"/>
    <n v="233.62012987012989"/>
    <n v="1351054800"/>
    <n v="51.990606936416185"/>
    <n v="1352440800"/>
    <x v="258"/>
    <d v="2012-11-09T06:00:00"/>
    <b v="0"/>
    <b v="0"/>
    <s v="theater/plays"/>
    <x v="3"/>
    <s v="plays"/>
  </r>
  <r>
    <n v="268"/>
    <s v="Brown-Mckee"/>
    <s v="Networked optimal productivity"/>
    <n v="1500"/>
    <n v="2708"/>
    <x v="1"/>
    <n v="48"/>
    <s v="US"/>
    <s v="USD"/>
    <n v="180.53333333333333"/>
    <n v="1349326800"/>
    <n v="56.416666666666664"/>
    <n v="1353304800"/>
    <x v="259"/>
    <d v="2012-11-19T06:00:00"/>
    <b v="0"/>
    <b v="0"/>
    <s v="film &amp; video/documentary"/>
    <x v="4"/>
    <s v="documentary"/>
  </r>
  <r>
    <n v="269"/>
    <s v="Miles and Sons"/>
    <s v="Persistent attitude-oriented approach"/>
    <n v="3500"/>
    <n v="8842"/>
    <x v="1"/>
    <n v="87"/>
    <s v="US"/>
    <s v="USD"/>
    <n v="252.62857142857143"/>
    <n v="1548914400"/>
    <n v="101.63218390804597"/>
    <n v="1550728800"/>
    <x v="260"/>
    <d v="2019-02-21T06:00:00"/>
    <b v="0"/>
    <b v="0"/>
    <s v="film &amp; video/television"/>
    <x v="4"/>
    <s v="television"/>
  </r>
  <r>
    <n v="270"/>
    <s v="Sawyer, Horton and Williams"/>
    <s v="Triple-buffered 4thgeneration toolset"/>
    <n v="173900"/>
    <n v="47260"/>
    <x v="3"/>
    <n v="1890"/>
    <s v="US"/>
    <s v="USD"/>
    <n v="27.176538240368025"/>
    <n v="1291269600"/>
    <n v="25.005291005291006"/>
    <n v="1291442400"/>
    <x v="261"/>
    <d v="2010-12-04T06:00:00"/>
    <b v="0"/>
    <b v="0"/>
    <s v="games/video games"/>
    <x v="6"/>
    <s v="video games"/>
  </r>
  <r>
    <n v="271"/>
    <s v="Foley-Cox"/>
    <s v="Progressive zero administration leverage"/>
    <n v="153700"/>
    <n v="1953"/>
    <x v="2"/>
    <n v="61"/>
    <s v="US"/>
    <s v="USD"/>
    <n v="1.2706571242680547"/>
    <n v="1449468000"/>
    <n v="32.016393442622949"/>
    <n v="1452146400"/>
    <x v="262"/>
    <d v="2016-01-07T06:00:00"/>
    <b v="0"/>
    <b v="0"/>
    <s v="photography/photography books"/>
    <x v="7"/>
    <s v="photography books"/>
  </r>
  <r>
    <n v="272"/>
    <s v="Horton, Morrison and Clark"/>
    <s v="Networked radical neural-net"/>
    <n v="51100"/>
    <n v="155349"/>
    <x v="1"/>
    <n v="1894"/>
    <s v="US"/>
    <s v="USD"/>
    <n v="304.0097847358121"/>
    <n v="1562734800"/>
    <n v="82.021647307286173"/>
    <n v="1564894800"/>
    <x v="263"/>
    <d v="2019-08-04T05:00:00"/>
    <b v="0"/>
    <b v="1"/>
    <s v="theater/plays"/>
    <x v="3"/>
    <s v="plays"/>
  </r>
  <r>
    <n v="273"/>
    <s v="Thomas and Sons"/>
    <s v="Re-engineered heuristic forecast"/>
    <n v="7800"/>
    <n v="10704"/>
    <x v="1"/>
    <n v="282"/>
    <s v="CA"/>
    <s v="CAD"/>
    <n v="137.23076923076923"/>
    <n v="1505624400"/>
    <n v="37.957446808510639"/>
    <n v="1505883600"/>
    <x v="264"/>
    <d v="2017-09-20T05:00:00"/>
    <b v="0"/>
    <b v="0"/>
    <s v="theater/plays"/>
    <x v="3"/>
    <s v="plays"/>
  </r>
  <r>
    <n v="274"/>
    <s v="Morgan-Jenkins"/>
    <s v="Fully-configurable background algorithm"/>
    <n v="2400"/>
    <n v="773"/>
    <x v="0"/>
    <n v="15"/>
    <s v="US"/>
    <s v="USD"/>
    <n v="32.208333333333336"/>
    <n v="1509948000"/>
    <n v="51.533333333333331"/>
    <n v="1510380000"/>
    <x v="265"/>
    <d v="2017-11-11T06:00:00"/>
    <b v="0"/>
    <b v="0"/>
    <s v="theater/plays"/>
    <x v="3"/>
    <s v="plays"/>
  </r>
  <r>
    <n v="275"/>
    <s v="Ward, Sanchez and Kemp"/>
    <s v="Stand-alone discrete Graphical User Interface"/>
    <n v="3900"/>
    <n v="9419"/>
    <x v="1"/>
    <n v="116"/>
    <s v="US"/>
    <s v="USD"/>
    <n v="241.51282051282053"/>
    <n v="1554526800"/>
    <n v="81.198275862068968"/>
    <n v="1555218000"/>
    <x v="266"/>
    <d v="2019-04-14T05:00:00"/>
    <b v="0"/>
    <b v="0"/>
    <s v="publishing/translations"/>
    <x v="5"/>
    <s v="translations"/>
  </r>
  <r>
    <n v="276"/>
    <s v="Fields Ltd"/>
    <s v="Front-line foreground project"/>
    <n v="5500"/>
    <n v="5324"/>
    <x v="0"/>
    <n v="133"/>
    <s v="US"/>
    <s v="USD"/>
    <n v="96.8"/>
    <n v="1334811600"/>
    <n v="40.030075187969928"/>
    <n v="1335243600"/>
    <x v="267"/>
    <d v="2012-04-24T05:00:00"/>
    <b v="0"/>
    <b v="1"/>
    <s v="games/video games"/>
    <x v="6"/>
    <s v="video games"/>
  </r>
  <r>
    <n v="277"/>
    <s v="Ramos-Mitchell"/>
    <s v="Persevering system-worthy info-mediaries"/>
    <n v="700"/>
    <n v="7465"/>
    <x v="1"/>
    <n v="83"/>
    <s v="US"/>
    <s v="USD"/>
    <n v="1066.4285714285716"/>
    <n v="1279515600"/>
    <n v="89.939759036144579"/>
    <n v="1279688400"/>
    <x v="268"/>
    <d v="2010-07-21T05:00:00"/>
    <b v="0"/>
    <b v="0"/>
    <s v="theater/plays"/>
    <x v="3"/>
    <s v="plays"/>
  </r>
  <r>
    <n v="278"/>
    <s v="Higgins, Davis and Salazar"/>
    <s v="Distributed multi-tasking strategy"/>
    <n v="2700"/>
    <n v="8799"/>
    <x v="1"/>
    <n v="91"/>
    <s v="US"/>
    <s v="USD"/>
    <n v="325.88888888888891"/>
    <n v="1353909600"/>
    <n v="96.692307692307693"/>
    <n v="1356069600"/>
    <x v="269"/>
    <d v="2012-12-21T06:00:00"/>
    <b v="0"/>
    <b v="0"/>
    <s v="technology/web"/>
    <x v="2"/>
    <s v="web"/>
  </r>
  <r>
    <n v="279"/>
    <s v="Smith-Jenkins"/>
    <s v="Vision-oriented methodical application"/>
    <n v="8000"/>
    <n v="13656"/>
    <x v="1"/>
    <n v="546"/>
    <s v="US"/>
    <s v="USD"/>
    <n v="170.70000000000002"/>
    <n v="1535950800"/>
    <n v="25.010989010989011"/>
    <n v="1536210000"/>
    <x v="270"/>
    <d v="2018-09-06T05:00:00"/>
    <b v="0"/>
    <b v="0"/>
    <s v="theater/plays"/>
    <x v="3"/>
    <s v="plays"/>
  </r>
  <r>
    <n v="280"/>
    <s v="Braun PLC"/>
    <s v="Function-based high-level infrastructure"/>
    <n v="2500"/>
    <n v="14536"/>
    <x v="1"/>
    <n v="393"/>
    <s v="US"/>
    <s v="USD"/>
    <n v="581.44000000000005"/>
    <n v="1511244000"/>
    <n v="36.987277353689571"/>
    <n v="1511762400"/>
    <x v="271"/>
    <d v="2017-11-27T06:00:00"/>
    <b v="0"/>
    <b v="0"/>
    <s v="film &amp; video/animation"/>
    <x v="4"/>
    <s v="animation"/>
  </r>
  <r>
    <n v="281"/>
    <s v="Drake PLC"/>
    <s v="Profound object-oriented paradigm"/>
    <n v="164500"/>
    <n v="150552"/>
    <x v="0"/>
    <n v="2062"/>
    <s v="US"/>
    <s v="USD"/>
    <n v="91.520972644376897"/>
    <n v="1331445600"/>
    <n v="73.012609117361791"/>
    <n v="1333256400"/>
    <x v="272"/>
    <d v="2012-04-01T05:00:00"/>
    <b v="0"/>
    <b v="1"/>
    <s v="theater/plays"/>
    <x v="3"/>
    <s v="plays"/>
  </r>
  <r>
    <n v="282"/>
    <s v="Ross, Kelly and Brown"/>
    <s v="Virtual contextually-based circuit"/>
    <n v="8400"/>
    <n v="9076"/>
    <x v="1"/>
    <n v="133"/>
    <s v="US"/>
    <s v="USD"/>
    <n v="108.04761904761904"/>
    <n v="1480226400"/>
    <n v="68.240601503759393"/>
    <n v="1480744800"/>
    <x v="73"/>
    <d v="2016-12-03T06:00:00"/>
    <b v="0"/>
    <b v="1"/>
    <s v="film &amp; video/television"/>
    <x v="4"/>
    <s v="television"/>
  </r>
  <r>
    <n v="283"/>
    <s v="Lucas-Mullins"/>
    <s v="Business-focused dynamic instruction set"/>
    <n v="8100"/>
    <n v="1517"/>
    <x v="0"/>
    <n v="29"/>
    <s v="DK"/>
    <s v="DKK"/>
    <n v="18.728395061728396"/>
    <n v="1464584400"/>
    <n v="52.310344827586206"/>
    <n v="1465016400"/>
    <x v="273"/>
    <d v="2016-06-04T05:00:00"/>
    <b v="0"/>
    <b v="0"/>
    <s v="music/rock"/>
    <x v="1"/>
    <s v="rock"/>
  </r>
  <r>
    <n v="284"/>
    <s v="Tran LLC"/>
    <s v="Ameliorated fresh-thinking protocol"/>
    <n v="9800"/>
    <n v="8153"/>
    <x v="0"/>
    <n v="132"/>
    <s v="US"/>
    <s v="USD"/>
    <n v="83.193877551020407"/>
    <n v="1335848400"/>
    <n v="61.765151515151516"/>
    <n v="1336280400"/>
    <x v="274"/>
    <d v="2012-05-06T05:00:00"/>
    <b v="0"/>
    <b v="0"/>
    <s v="technology/web"/>
    <x v="2"/>
    <s v="web"/>
  </r>
  <r>
    <n v="285"/>
    <s v="Dawson, Brady and Gilbert"/>
    <s v="Front-line optimizing emulation"/>
    <n v="900"/>
    <n v="6357"/>
    <x v="1"/>
    <n v="254"/>
    <s v="US"/>
    <s v="USD"/>
    <n v="706.33333333333337"/>
    <n v="1473483600"/>
    <n v="25.027559055118111"/>
    <n v="1476766800"/>
    <x v="275"/>
    <d v="2016-10-18T05:00:00"/>
    <b v="0"/>
    <b v="0"/>
    <s v="theater/plays"/>
    <x v="3"/>
    <s v="plays"/>
  </r>
  <r>
    <n v="286"/>
    <s v="Obrien-Aguirre"/>
    <s v="Devolved uniform complexity"/>
    <n v="112100"/>
    <n v="19557"/>
    <x v="3"/>
    <n v="184"/>
    <s v="US"/>
    <s v="USD"/>
    <n v="17.446030330062445"/>
    <n v="1479880800"/>
    <n v="106.28804347826087"/>
    <n v="1480485600"/>
    <x v="276"/>
    <d v="2016-11-30T06:00:00"/>
    <b v="0"/>
    <b v="0"/>
    <s v="theater/plays"/>
    <x v="3"/>
    <s v="plays"/>
  </r>
  <r>
    <n v="287"/>
    <s v="Ferguson PLC"/>
    <s v="Public-key intangible superstructure"/>
    <n v="6300"/>
    <n v="13213"/>
    <x v="1"/>
    <n v="176"/>
    <s v="US"/>
    <s v="USD"/>
    <n v="209.73015873015873"/>
    <n v="1430197200"/>
    <n v="75.07386363636364"/>
    <n v="1430197200"/>
    <x v="277"/>
    <d v="2015-04-28T05:00:00"/>
    <b v="0"/>
    <b v="0"/>
    <s v="music/electric music"/>
    <x v="1"/>
    <s v="electric music"/>
  </r>
  <r>
    <n v="288"/>
    <s v="Garcia Ltd"/>
    <s v="Secured global success"/>
    <n v="5600"/>
    <n v="5476"/>
    <x v="0"/>
    <n v="137"/>
    <s v="DK"/>
    <s v="DKK"/>
    <n v="97.785714285714292"/>
    <n v="1331701200"/>
    <n v="39.970802919708028"/>
    <n v="1331787600"/>
    <x v="278"/>
    <d v="2012-03-15T05:00:00"/>
    <b v="0"/>
    <b v="1"/>
    <s v="music/metal"/>
    <x v="1"/>
    <s v="metal"/>
  </r>
  <r>
    <n v="289"/>
    <s v="Smith, Love and Smith"/>
    <s v="Grass-roots mission-critical capability"/>
    <n v="800"/>
    <n v="13474"/>
    <x v="1"/>
    <n v="337"/>
    <s v="CA"/>
    <s v="CAD"/>
    <n v="1684.25"/>
    <n v="1438578000"/>
    <n v="39.982195845697326"/>
    <n v="1438837200"/>
    <x v="279"/>
    <d v="2015-08-06T05:00:00"/>
    <b v="0"/>
    <b v="0"/>
    <s v="theater/plays"/>
    <x v="3"/>
    <s v="plays"/>
  </r>
  <r>
    <n v="290"/>
    <s v="Wilson, Hall and Osborne"/>
    <s v="Advanced global data-warehouse"/>
    <n v="168600"/>
    <n v="91722"/>
    <x v="0"/>
    <n v="908"/>
    <s v="US"/>
    <s v="USD"/>
    <n v="54.402135231316727"/>
    <n v="1368162000"/>
    <n v="101.01541850220265"/>
    <n v="1370926800"/>
    <x v="280"/>
    <d v="2013-06-11T05:00:00"/>
    <b v="0"/>
    <b v="1"/>
    <s v="film &amp; video/documentary"/>
    <x v="4"/>
    <s v="documentary"/>
  </r>
  <r>
    <n v="291"/>
    <s v="Bell, Grimes and Kerr"/>
    <s v="Self-enabling uniform complexity"/>
    <n v="1800"/>
    <n v="8219"/>
    <x v="1"/>
    <n v="107"/>
    <s v="US"/>
    <s v="USD"/>
    <n v="456.61111111111109"/>
    <n v="1318654800"/>
    <n v="76.813084112149539"/>
    <n v="1319000400"/>
    <x v="281"/>
    <d v="2011-10-19T05:00:00"/>
    <b v="1"/>
    <b v="0"/>
    <s v="technology/web"/>
    <x v="2"/>
    <s v="web"/>
  </r>
  <r>
    <n v="292"/>
    <s v="Ho-Harris"/>
    <s v="Versatile cohesive encoding"/>
    <n v="7300"/>
    <n v="717"/>
    <x v="0"/>
    <n v="10"/>
    <s v="US"/>
    <s v="USD"/>
    <n v="9.8219178082191778"/>
    <n v="1331874000"/>
    <n v="71.7"/>
    <n v="1333429200"/>
    <x v="282"/>
    <d v="2012-04-03T05:00:00"/>
    <b v="0"/>
    <b v="0"/>
    <s v="food/food trucks"/>
    <x v="0"/>
    <s v="food trucks"/>
  </r>
  <r>
    <n v="293"/>
    <s v="Ross Group"/>
    <s v="Organized executive solution"/>
    <n v="6500"/>
    <n v="1065"/>
    <x v="3"/>
    <n v="32"/>
    <s v="IT"/>
    <s v="EUR"/>
    <n v="16.384615384615383"/>
    <n v="1286254800"/>
    <n v="33.28125"/>
    <n v="1287032400"/>
    <x v="283"/>
    <d v="2010-10-14T05:00:00"/>
    <b v="0"/>
    <b v="0"/>
    <s v="theater/plays"/>
    <x v="3"/>
    <s v="plays"/>
  </r>
  <r>
    <n v="294"/>
    <s v="Turner-Davis"/>
    <s v="Automated local emulation"/>
    <n v="600"/>
    <n v="8038"/>
    <x v="1"/>
    <n v="183"/>
    <s v="US"/>
    <s v="USD"/>
    <n v="1339.6666666666667"/>
    <n v="1540530000"/>
    <n v="43.923497267759565"/>
    <n v="1541570400"/>
    <x v="284"/>
    <d v="2018-11-07T06:00:00"/>
    <b v="0"/>
    <b v="0"/>
    <s v="theater/plays"/>
    <x v="3"/>
    <s v="plays"/>
  </r>
  <r>
    <n v="295"/>
    <s v="Smith, Jackson and Herrera"/>
    <s v="Enterprise-wide intermediate middleware"/>
    <n v="192900"/>
    <n v="68769"/>
    <x v="0"/>
    <n v="1910"/>
    <s v="CH"/>
    <s v="CHF"/>
    <n v="35.650077760497666"/>
    <n v="1381813200"/>
    <n v="36.004712041884815"/>
    <n v="1383976800"/>
    <x v="285"/>
    <d v="2013-11-09T06:00:00"/>
    <b v="0"/>
    <b v="0"/>
    <s v="theater/plays"/>
    <x v="3"/>
    <s v="plays"/>
  </r>
  <r>
    <n v="296"/>
    <s v="Smith-Hess"/>
    <s v="Grass-roots real-time Local Area Network"/>
    <n v="6100"/>
    <n v="3352"/>
    <x v="0"/>
    <n v="38"/>
    <s v="AU"/>
    <s v="AUD"/>
    <n v="54.950819672131146"/>
    <n v="1548655200"/>
    <n v="88.21052631578948"/>
    <n v="1550556000"/>
    <x v="286"/>
    <d v="2019-02-19T06:00:00"/>
    <b v="0"/>
    <b v="0"/>
    <s v="theater/plays"/>
    <x v="3"/>
    <s v="plays"/>
  </r>
  <r>
    <n v="297"/>
    <s v="Brown, Herring and Bass"/>
    <s v="Organized client-driven capacity"/>
    <n v="7200"/>
    <n v="6785"/>
    <x v="0"/>
    <n v="104"/>
    <s v="AU"/>
    <s v="AUD"/>
    <n v="94.236111111111114"/>
    <n v="1389679200"/>
    <n v="65.240384615384613"/>
    <n v="1390456800"/>
    <x v="287"/>
    <d v="2014-01-23T06:00:00"/>
    <b v="0"/>
    <b v="1"/>
    <s v="theater/plays"/>
    <x v="3"/>
    <s v="plays"/>
  </r>
  <r>
    <n v="298"/>
    <s v="Chase, Garcia and Johnson"/>
    <s v="Adaptive intangible database"/>
    <n v="3500"/>
    <n v="5037"/>
    <x v="1"/>
    <n v="72"/>
    <s v="US"/>
    <s v="USD"/>
    <n v="143.91428571428571"/>
    <n v="1456466400"/>
    <n v="69.958333333333329"/>
    <n v="1458018000"/>
    <x v="288"/>
    <d v="2016-03-15T05:00:00"/>
    <b v="0"/>
    <b v="1"/>
    <s v="music/rock"/>
    <x v="1"/>
    <s v="rock"/>
  </r>
  <r>
    <n v="299"/>
    <s v="Ramsey and Sons"/>
    <s v="Grass-roots contextually-based algorithm"/>
    <n v="3800"/>
    <n v="1954"/>
    <x v="0"/>
    <n v="49"/>
    <s v="US"/>
    <s v="USD"/>
    <n v="51.421052631578945"/>
    <n v="1456984800"/>
    <n v="39.877551020408163"/>
    <n v="1461819600"/>
    <x v="289"/>
    <d v="2016-04-28T05:00:00"/>
    <b v="0"/>
    <b v="0"/>
    <s v="food/food trucks"/>
    <x v="0"/>
    <s v="food trucks"/>
  </r>
  <r>
    <n v="300"/>
    <s v="Cooke PLC"/>
    <s v="Focused executive core"/>
    <n v="100"/>
    <n v="5"/>
    <x v="0"/>
    <n v="1"/>
    <s v="DK"/>
    <s v="DKK"/>
    <n v="5"/>
    <n v="1504069200"/>
    <n v="5"/>
    <n v="1504155600"/>
    <x v="290"/>
    <d v="2017-08-31T05:00:00"/>
    <b v="0"/>
    <b v="1"/>
    <s v="publishing/nonfiction"/>
    <x v="5"/>
    <s v="nonfiction"/>
  </r>
  <r>
    <n v="301"/>
    <s v="Wong-Walker"/>
    <s v="Multi-channeled disintermediate policy"/>
    <n v="900"/>
    <n v="12102"/>
    <x v="1"/>
    <n v="295"/>
    <s v="US"/>
    <s v="USD"/>
    <n v="1344.6666666666667"/>
    <n v="1424930400"/>
    <n v="41.023728813559323"/>
    <n v="1426395600"/>
    <x v="291"/>
    <d v="2015-03-15T05:00:00"/>
    <b v="0"/>
    <b v="0"/>
    <s v="film &amp; video/documentary"/>
    <x v="4"/>
    <s v="documentary"/>
  </r>
  <r>
    <n v="302"/>
    <s v="Ferguson, Collins and Mata"/>
    <s v="Customizable bi-directional hardware"/>
    <n v="76100"/>
    <n v="24234"/>
    <x v="0"/>
    <n v="245"/>
    <s v="US"/>
    <s v="USD"/>
    <n v="31.844940867279899"/>
    <n v="1535864400"/>
    <n v="98.914285714285711"/>
    <n v="1537074000"/>
    <x v="292"/>
    <d v="2018-09-16T05:00:00"/>
    <b v="0"/>
    <b v="0"/>
    <s v="theater/plays"/>
    <x v="3"/>
    <s v="plays"/>
  </r>
  <r>
    <n v="303"/>
    <s v="Guerrero, Flores and Jenkins"/>
    <s v="Networked optimal architecture"/>
    <n v="3400"/>
    <n v="2809"/>
    <x v="0"/>
    <n v="32"/>
    <s v="US"/>
    <s v="USD"/>
    <n v="82.617647058823536"/>
    <n v="1452146400"/>
    <n v="87.78125"/>
    <n v="1452578400"/>
    <x v="293"/>
    <d v="2016-01-12T06:00:00"/>
    <b v="0"/>
    <b v="0"/>
    <s v="music/indie rock"/>
    <x v="1"/>
    <s v="indie rock"/>
  </r>
  <r>
    <n v="304"/>
    <s v="Peterson PLC"/>
    <s v="User-friendly discrete benchmark"/>
    <n v="2100"/>
    <n v="11469"/>
    <x v="1"/>
    <n v="142"/>
    <s v="US"/>
    <s v="USD"/>
    <n v="546.14285714285722"/>
    <n v="1470546000"/>
    <n v="80.767605633802816"/>
    <n v="1474088400"/>
    <x v="294"/>
    <d v="2016-09-17T05:00:00"/>
    <b v="0"/>
    <b v="0"/>
    <s v="film &amp; video/documentary"/>
    <x v="4"/>
    <s v="documentary"/>
  </r>
  <r>
    <n v="305"/>
    <s v="Townsend Ltd"/>
    <s v="Grass-roots actuating policy"/>
    <n v="2800"/>
    <n v="8014"/>
    <x v="1"/>
    <n v="85"/>
    <s v="US"/>
    <s v="USD"/>
    <n v="286.21428571428572"/>
    <n v="1458363600"/>
    <n v="94.28235294117647"/>
    <n v="1461906000"/>
    <x v="295"/>
    <d v="2016-04-29T05:00:00"/>
    <b v="0"/>
    <b v="0"/>
    <s v="theater/plays"/>
    <x v="3"/>
    <s v="plays"/>
  </r>
  <r>
    <n v="306"/>
    <s v="Rush, Reed and Hall"/>
    <s v="Enterprise-wide 3rdgeneration knowledge user"/>
    <n v="6500"/>
    <n v="514"/>
    <x v="0"/>
    <n v="7"/>
    <s v="US"/>
    <s v="USD"/>
    <n v="7.9076923076923071"/>
    <n v="1500008400"/>
    <n v="73.428571428571431"/>
    <n v="1500267600"/>
    <x v="296"/>
    <d v="2017-07-17T05:00:00"/>
    <b v="0"/>
    <b v="1"/>
    <s v="theater/plays"/>
    <x v="3"/>
    <s v="plays"/>
  </r>
  <r>
    <n v="307"/>
    <s v="Salazar-Dodson"/>
    <s v="Face-to-face zero tolerance moderator"/>
    <n v="32900"/>
    <n v="43473"/>
    <x v="1"/>
    <n v="659"/>
    <s v="DK"/>
    <s v="DKK"/>
    <n v="132.13677811550153"/>
    <n v="1338958800"/>
    <n v="65.968133535660087"/>
    <n v="1340686800"/>
    <x v="297"/>
    <d v="2012-06-26T05:00:00"/>
    <b v="0"/>
    <b v="1"/>
    <s v="publishing/fiction"/>
    <x v="5"/>
    <s v="fiction"/>
  </r>
  <r>
    <n v="308"/>
    <s v="Davis Ltd"/>
    <s v="Grass-roots optimizing projection"/>
    <n v="118200"/>
    <n v="87560"/>
    <x v="0"/>
    <n v="803"/>
    <s v="US"/>
    <s v="USD"/>
    <n v="74.077834179357026"/>
    <n v="1303102800"/>
    <n v="109.04109589041096"/>
    <n v="1303189200"/>
    <x v="298"/>
    <d v="2011-04-19T05:00:00"/>
    <b v="0"/>
    <b v="0"/>
    <s v="theater/plays"/>
    <x v="3"/>
    <s v="plays"/>
  </r>
  <r>
    <n v="309"/>
    <s v="Harris-Perry"/>
    <s v="User-centric 6thgeneration attitude"/>
    <n v="4100"/>
    <n v="3087"/>
    <x v="3"/>
    <n v="75"/>
    <s v="US"/>
    <s v="USD"/>
    <n v="75.292682926829272"/>
    <n v="1316581200"/>
    <n v="41.16"/>
    <n v="1318309200"/>
    <x v="299"/>
    <d v="2011-10-11T05:00:00"/>
    <b v="0"/>
    <b v="1"/>
    <s v="music/indie rock"/>
    <x v="1"/>
    <s v="indie rock"/>
  </r>
  <r>
    <n v="310"/>
    <s v="Velazquez, Hunt and Ortiz"/>
    <s v="Switchable zero tolerance website"/>
    <n v="7800"/>
    <n v="1586"/>
    <x v="0"/>
    <n v="16"/>
    <s v="US"/>
    <s v="USD"/>
    <n v="20.333333333333332"/>
    <n v="1270789200"/>
    <n v="99.125"/>
    <n v="1272171600"/>
    <x v="300"/>
    <d v="2010-04-25T05:00:00"/>
    <b v="0"/>
    <b v="0"/>
    <s v="games/video games"/>
    <x v="6"/>
    <s v="video games"/>
  </r>
  <r>
    <n v="311"/>
    <s v="Flores PLC"/>
    <s v="Focused real-time help-desk"/>
    <n v="6300"/>
    <n v="12812"/>
    <x v="1"/>
    <n v="121"/>
    <s v="US"/>
    <s v="USD"/>
    <n v="203.36507936507937"/>
    <n v="1297836000"/>
    <n v="105.88429752066116"/>
    <n v="1298872800"/>
    <x v="247"/>
    <d v="2011-02-28T06:00:00"/>
    <b v="0"/>
    <b v="0"/>
    <s v="theater/plays"/>
    <x v="3"/>
    <s v="plays"/>
  </r>
  <r>
    <n v="312"/>
    <s v="Martinez LLC"/>
    <s v="Robust impactful approach"/>
    <n v="59100"/>
    <n v="183345"/>
    <x v="1"/>
    <n v="3742"/>
    <s v="US"/>
    <s v="USD"/>
    <n v="310.2284263959391"/>
    <n v="1382677200"/>
    <n v="48.996525921966864"/>
    <n v="1383282000"/>
    <x v="244"/>
    <d v="2013-11-01T05:00:00"/>
    <b v="0"/>
    <b v="0"/>
    <s v="theater/plays"/>
    <x v="3"/>
    <s v="plays"/>
  </r>
  <r>
    <n v="313"/>
    <s v="Miller-Irwin"/>
    <s v="Secured maximized policy"/>
    <n v="2200"/>
    <n v="8697"/>
    <x v="1"/>
    <n v="223"/>
    <s v="US"/>
    <s v="USD"/>
    <n v="395.31818181818181"/>
    <n v="1330322400"/>
    <n v="39"/>
    <n v="1330495200"/>
    <x v="301"/>
    <d v="2012-02-29T06:00:00"/>
    <b v="0"/>
    <b v="0"/>
    <s v="music/rock"/>
    <x v="1"/>
    <s v="rock"/>
  </r>
  <r>
    <n v="314"/>
    <s v="Sanchez-Morgan"/>
    <s v="Realigned upward-trending strategy"/>
    <n v="1400"/>
    <n v="4126"/>
    <x v="1"/>
    <n v="133"/>
    <s v="US"/>
    <s v="USD"/>
    <n v="294.71428571428572"/>
    <n v="1552366800"/>
    <n v="31.022556390977442"/>
    <n v="1552798800"/>
    <x v="188"/>
    <d v="2019-03-17T05:00:00"/>
    <b v="0"/>
    <b v="1"/>
    <s v="film &amp; video/documentary"/>
    <x v="4"/>
    <s v="documentary"/>
  </r>
  <r>
    <n v="315"/>
    <s v="Lopez, Adams and Johnson"/>
    <s v="Open-source interactive knowledge user"/>
    <n v="9500"/>
    <n v="3220"/>
    <x v="0"/>
    <n v="31"/>
    <s v="US"/>
    <s v="USD"/>
    <n v="33.89473684210526"/>
    <n v="1400907600"/>
    <n v="103.87096774193549"/>
    <n v="1403413200"/>
    <x v="302"/>
    <d v="2014-06-22T05:00:00"/>
    <b v="0"/>
    <b v="0"/>
    <s v="theater/plays"/>
    <x v="3"/>
    <s v="plays"/>
  </r>
  <r>
    <n v="316"/>
    <s v="Martin-Marshall"/>
    <s v="Configurable demand-driven matrix"/>
    <n v="9600"/>
    <n v="6401"/>
    <x v="0"/>
    <n v="108"/>
    <s v="IT"/>
    <s v="EUR"/>
    <n v="66.677083333333329"/>
    <n v="1574143200"/>
    <n v="59.268518518518519"/>
    <n v="1574229600"/>
    <x v="303"/>
    <d v="2019-11-20T06:00:00"/>
    <b v="0"/>
    <b v="1"/>
    <s v="food/food trucks"/>
    <x v="0"/>
    <s v="food trucks"/>
  </r>
  <r>
    <n v="317"/>
    <s v="Summers PLC"/>
    <s v="Cross-group coherent hierarchy"/>
    <n v="6600"/>
    <n v="1269"/>
    <x v="0"/>
    <n v="30"/>
    <s v="US"/>
    <s v="USD"/>
    <n v="19.227272727272727"/>
    <n v="1494738000"/>
    <n v="42.3"/>
    <n v="1495861200"/>
    <x v="304"/>
    <d v="2017-05-27T05:00:00"/>
    <b v="0"/>
    <b v="0"/>
    <s v="theater/plays"/>
    <x v="3"/>
    <s v="plays"/>
  </r>
  <r>
    <n v="318"/>
    <s v="Young, Hart and Ryan"/>
    <s v="Decentralized demand-driven open system"/>
    <n v="5700"/>
    <n v="903"/>
    <x v="0"/>
    <n v="17"/>
    <s v="US"/>
    <s v="USD"/>
    <n v="15.842105263157894"/>
    <n v="1392357600"/>
    <n v="53.117647058823529"/>
    <n v="1392530400"/>
    <x v="305"/>
    <d v="2014-02-16T06:00:00"/>
    <b v="0"/>
    <b v="0"/>
    <s v="music/rock"/>
    <x v="1"/>
    <s v="rock"/>
  </r>
  <r>
    <n v="319"/>
    <s v="Mills Group"/>
    <s v="Advanced empowering matrix"/>
    <n v="8400"/>
    <n v="3251"/>
    <x v="3"/>
    <n v="64"/>
    <s v="US"/>
    <s v="USD"/>
    <n v="38.702380952380956"/>
    <n v="1281589200"/>
    <n v="50.796875"/>
    <n v="1283662800"/>
    <x v="306"/>
    <d v="2010-09-05T05:00:00"/>
    <b v="0"/>
    <b v="0"/>
    <s v="technology/web"/>
    <x v="2"/>
    <s v="web"/>
  </r>
  <r>
    <n v="320"/>
    <s v="Sandoval-Powell"/>
    <s v="Phased holistic implementation"/>
    <n v="84400"/>
    <n v="8092"/>
    <x v="0"/>
    <n v="80"/>
    <s v="US"/>
    <s v="USD"/>
    <n v="9.5876777251184837"/>
    <n v="1305003600"/>
    <n v="101.15"/>
    <n v="1305781200"/>
    <x v="307"/>
    <d v="2011-05-19T05:00:00"/>
    <b v="0"/>
    <b v="0"/>
    <s v="publishing/fiction"/>
    <x v="5"/>
    <s v="fiction"/>
  </r>
  <r>
    <n v="321"/>
    <s v="Mills, Frazier and Perez"/>
    <s v="Proactive attitude-oriented knowledge user"/>
    <n v="170400"/>
    <n v="160422"/>
    <x v="0"/>
    <n v="2468"/>
    <s v="US"/>
    <s v="USD"/>
    <n v="94.144366197183089"/>
    <n v="1301634000"/>
    <n v="65.000810372771468"/>
    <n v="1302325200"/>
    <x v="308"/>
    <d v="2011-04-09T05:00:00"/>
    <b v="0"/>
    <b v="0"/>
    <s v="film &amp; video/shorts"/>
    <x v="4"/>
    <s v="shorts"/>
  </r>
  <r>
    <n v="322"/>
    <s v="Hebert Group"/>
    <s v="Visionary asymmetric Graphical User Interface"/>
    <n v="117900"/>
    <n v="196377"/>
    <x v="1"/>
    <n v="5168"/>
    <s v="US"/>
    <s v="USD"/>
    <n v="166.56234096692114"/>
    <n v="1290664800"/>
    <n v="37.998645510835914"/>
    <n v="1291788000"/>
    <x v="309"/>
    <d v="2010-12-08T06:00:00"/>
    <b v="0"/>
    <b v="0"/>
    <s v="theater/plays"/>
    <x v="3"/>
    <s v="plays"/>
  </r>
  <r>
    <n v="323"/>
    <s v="Cole, Smith and Wood"/>
    <s v="Integrated zero-defect help-desk"/>
    <n v="8900"/>
    <n v="2148"/>
    <x v="0"/>
    <n v="26"/>
    <s v="GB"/>
    <s v="GBP"/>
    <n v="24.134831460674157"/>
    <n v="1395896400"/>
    <n v="82.615384615384613"/>
    <n v="1396069200"/>
    <x v="310"/>
    <d v="2014-03-29T05:00:00"/>
    <b v="0"/>
    <b v="0"/>
    <s v="film &amp; video/documentary"/>
    <x v="4"/>
    <s v="documentary"/>
  </r>
  <r>
    <n v="324"/>
    <s v="Harris, Hall and Harris"/>
    <s v="Inverse analyzing matrices"/>
    <n v="7100"/>
    <n v="11648"/>
    <x v="1"/>
    <n v="307"/>
    <s v="US"/>
    <s v="USD"/>
    <n v="164.05633802816902"/>
    <n v="1434862800"/>
    <n v="37.941368078175898"/>
    <n v="1435899600"/>
    <x v="311"/>
    <d v="2015-07-03T05:00:00"/>
    <b v="0"/>
    <b v="1"/>
    <s v="theater/plays"/>
    <x v="3"/>
    <s v="plays"/>
  </r>
  <r>
    <n v="325"/>
    <s v="Saunders Group"/>
    <s v="Programmable systemic implementation"/>
    <n v="6500"/>
    <n v="5897"/>
    <x v="0"/>
    <n v="73"/>
    <s v="US"/>
    <s v="USD"/>
    <n v="90.723076923076931"/>
    <n v="1529125200"/>
    <n v="80.780821917808225"/>
    <n v="1531112400"/>
    <x v="79"/>
    <d v="2018-07-09T05:00:00"/>
    <b v="0"/>
    <b v="1"/>
    <s v="theater/plays"/>
    <x v="3"/>
    <s v="plays"/>
  </r>
  <r>
    <n v="326"/>
    <s v="Pham, Avila and Nash"/>
    <s v="Multi-channeled next generation architecture"/>
    <n v="7200"/>
    <n v="3326"/>
    <x v="0"/>
    <n v="128"/>
    <s v="US"/>
    <s v="USD"/>
    <n v="46.194444444444443"/>
    <n v="1451109600"/>
    <n v="25.984375"/>
    <n v="1451628000"/>
    <x v="312"/>
    <d v="2016-01-01T06:00:00"/>
    <b v="0"/>
    <b v="0"/>
    <s v="film &amp; video/animation"/>
    <x v="4"/>
    <s v="animation"/>
  </r>
  <r>
    <n v="327"/>
    <s v="Patterson, Salinas and Lucas"/>
    <s v="Digitized 3rdgeneration encoding"/>
    <n v="2600"/>
    <n v="1002"/>
    <x v="0"/>
    <n v="33"/>
    <s v="US"/>
    <s v="USD"/>
    <n v="38.53846153846154"/>
    <n v="1566968400"/>
    <n v="30.363636363636363"/>
    <n v="1567314000"/>
    <x v="313"/>
    <d v="2019-09-01T05:00:00"/>
    <b v="0"/>
    <b v="1"/>
    <s v="theater/plays"/>
    <x v="3"/>
    <s v="plays"/>
  </r>
  <r>
    <n v="328"/>
    <s v="Young PLC"/>
    <s v="Innovative well-modulated functionalities"/>
    <n v="98700"/>
    <n v="131826"/>
    <x v="1"/>
    <n v="2441"/>
    <s v="US"/>
    <s v="USD"/>
    <n v="133.56231003039514"/>
    <n v="1543557600"/>
    <n v="54.004916018025398"/>
    <n v="1544508000"/>
    <x v="314"/>
    <d v="2018-12-11T06:00:00"/>
    <b v="0"/>
    <b v="0"/>
    <s v="music/rock"/>
    <x v="1"/>
    <s v="rock"/>
  </r>
  <r>
    <n v="329"/>
    <s v="Willis and Sons"/>
    <s v="Fundamental incremental database"/>
    <n v="93800"/>
    <n v="21477"/>
    <x v="2"/>
    <n v="211"/>
    <s v="US"/>
    <s v="USD"/>
    <n v="22.896588486140725"/>
    <n v="1481522400"/>
    <n v="101.78672985781991"/>
    <n v="1482472800"/>
    <x v="315"/>
    <d v="2016-12-23T06:00:00"/>
    <b v="0"/>
    <b v="0"/>
    <s v="games/video games"/>
    <x v="6"/>
    <s v="video games"/>
  </r>
  <r>
    <n v="330"/>
    <s v="Thompson-Bates"/>
    <s v="Expanded encompassing open architecture"/>
    <n v="33700"/>
    <n v="62330"/>
    <x v="1"/>
    <n v="1385"/>
    <s v="GB"/>
    <s v="GBP"/>
    <n v="184.95548961424333"/>
    <n v="1512712800"/>
    <n v="45.003610108303249"/>
    <n v="1512799200"/>
    <x v="316"/>
    <d v="2017-12-09T06:00:00"/>
    <b v="0"/>
    <b v="0"/>
    <s v="film &amp; video/documentary"/>
    <x v="4"/>
    <s v="documentary"/>
  </r>
  <r>
    <n v="331"/>
    <s v="Rose-Silva"/>
    <s v="Intuitive static portal"/>
    <n v="3300"/>
    <n v="14643"/>
    <x v="1"/>
    <n v="190"/>
    <s v="US"/>
    <s v="USD"/>
    <n v="443.72727272727275"/>
    <n v="1324274400"/>
    <n v="77.068421052631578"/>
    <n v="1324360800"/>
    <x v="317"/>
    <d v="2011-12-20T06:00:00"/>
    <b v="0"/>
    <b v="0"/>
    <s v="food/food trucks"/>
    <x v="0"/>
    <s v="food trucks"/>
  </r>
  <r>
    <n v="332"/>
    <s v="Pacheco, Johnson and Torres"/>
    <s v="Optional bandwidth-monitored definition"/>
    <n v="20700"/>
    <n v="41396"/>
    <x v="1"/>
    <n v="470"/>
    <s v="US"/>
    <s v="USD"/>
    <n v="199.9806763285024"/>
    <n v="1364446800"/>
    <n v="88.076595744680844"/>
    <n v="1364533200"/>
    <x v="318"/>
    <d v="2013-03-29T05:00:00"/>
    <b v="0"/>
    <b v="0"/>
    <s v="technology/wearables"/>
    <x v="2"/>
    <s v="wearables"/>
  </r>
  <r>
    <n v="333"/>
    <s v="Carlson, Dixon and Jones"/>
    <s v="Persistent well-modulated synergy"/>
    <n v="9600"/>
    <n v="11900"/>
    <x v="1"/>
    <n v="253"/>
    <s v="US"/>
    <s v="USD"/>
    <n v="123.95833333333333"/>
    <n v="1542693600"/>
    <n v="47.035573122529641"/>
    <n v="1545112800"/>
    <x v="319"/>
    <d v="2018-12-18T06:00:00"/>
    <b v="0"/>
    <b v="0"/>
    <s v="theater/plays"/>
    <x v="3"/>
    <s v="plays"/>
  </r>
  <r>
    <n v="334"/>
    <s v="Mcgee Group"/>
    <s v="Assimilated discrete algorithm"/>
    <n v="66200"/>
    <n v="123538"/>
    <x v="1"/>
    <n v="1113"/>
    <s v="US"/>
    <s v="USD"/>
    <n v="186.61329305135951"/>
    <n v="1515564000"/>
    <n v="110.99550763701707"/>
    <n v="1516168800"/>
    <x v="32"/>
    <d v="2018-01-17T06:00:00"/>
    <b v="0"/>
    <b v="0"/>
    <s v="music/rock"/>
    <x v="1"/>
    <s v="rock"/>
  </r>
  <r>
    <n v="335"/>
    <s v="Jordan-Acosta"/>
    <s v="Operative uniform hub"/>
    <n v="173800"/>
    <n v="198628"/>
    <x v="1"/>
    <n v="2283"/>
    <s v="US"/>
    <s v="USD"/>
    <n v="114.28538550057536"/>
    <n v="1573797600"/>
    <n v="87.003066141042481"/>
    <n v="1574920800"/>
    <x v="320"/>
    <d v="2019-11-28T06:00:00"/>
    <b v="0"/>
    <b v="0"/>
    <s v="music/rock"/>
    <x v="1"/>
    <s v="rock"/>
  </r>
  <r>
    <n v="336"/>
    <s v="Nunez Inc"/>
    <s v="Customizable intangible capability"/>
    <n v="70700"/>
    <n v="68602"/>
    <x v="0"/>
    <n v="1072"/>
    <s v="US"/>
    <s v="USD"/>
    <n v="97.032531824611041"/>
    <n v="1292392800"/>
    <n v="63.994402985074629"/>
    <n v="1292479200"/>
    <x v="321"/>
    <d v="2010-12-16T06:00:00"/>
    <b v="0"/>
    <b v="1"/>
    <s v="music/rock"/>
    <x v="1"/>
    <s v="rock"/>
  </r>
  <r>
    <n v="337"/>
    <s v="Hayden Ltd"/>
    <s v="Innovative didactic analyzer"/>
    <n v="94500"/>
    <n v="116064"/>
    <x v="1"/>
    <n v="1095"/>
    <s v="US"/>
    <s v="USD"/>
    <n v="122.81904761904762"/>
    <n v="1573452000"/>
    <n v="105.9945205479452"/>
    <n v="1573538400"/>
    <x v="322"/>
    <d v="2019-11-12T06:00:00"/>
    <b v="0"/>
    <b v="0"/>
    <s v="theater/plays"/>
    <x v="3"/>
    <s v="plays"/>
  </r>
  <r>
    <n v="338"/>
    <s v="Gonzalez-Burton"/>
    <s v="Decentralized intangible encoding"/>
    <n v="69800"/>
    <n v="125042"/>
    <x v="1"/>
    <n v="1690"/>
    <s v="US"/>
    <s v="USD"/>
    <n v="179.14326647564468"/>
    <n v="1317790800"/>
    <n v="73.989349112426041"/>
    <n v="1320382800"/>
    <x v="323"/>
    <d v="2011-11-04T05:00:00"/>
    <b v="0"/>
    <b v="0"/>
    <s v="theater/plays"/>
    <x v="3"/>
    <s v="plays"/>
  </r>
  <r>
    <n v="339"/>
    <s v="Lewis, Taylor and Rivers"/>
    <s v="Front-line transitional algorithm"/>
    <n v="136300"/>
    <n v="108974"/>
    <x v="3"/>
    <n v="1297"/>
    <s v="CA"/>
    <s v="CAD"/>
    <n v="79.951577402787962"/>
    <n v="1501650000"/>
    <n v="84.02004626060139"/>
    <n v="1502859600"/>
    <x v="324"/>
    <d v="2017-08-16T05:00:00"/>
    <b v="0"/>
    <b v="0"/>
    <s v="theater/plays"/>
    <x v="3"/>
    <s v="plays"/>
  </r>
  <r>
    <n v="340"/>
    <s v="Butler, Henry and Espinoza"/>
    <s v="Switchable didactic matrices"/>
    <n v="37100"/>
    <n v="34964"/>
    <x v="0"/>
    <n v="393"/>
    <s v="US"/>
    <s v="USD"/>
    <n v="94.242587601078171"/>
    <n v="1323669600"/>
    <n v="88.966921119592882"/>
    <n v="1323756000"/>
    <x v="325"/>
    <d v="2011-12-13T06:00:00"/>
    <b v="0"/>
    <b v="0"/>
    <s v="photography/photography books"/>
    <x v="7"/>
    <s v="photography books"/>
  </r>
  <r>
    <n v="341"/>
    <s v="Guzman Group"/>
    <s v="Ameliorated disintermediate utilization"/>
    <n v="114300"/>
    <n v="96777"/>
    <x v="0"/>
    <n v="1257"/>
    <s v="US"/>
    <s v="USD"/>
    <n v="84.669291338582681"/>
    <n v="1440738000"/>
    <n v="76.990453460620529"/>
    <n v="1441342800"/>
    <x v="326"/>
    <d v="2015-09-04T05:00:00"/>
    <b v="0"/>
    <b v="0"/>
    <s v="music/indie rock"/>
    <x v="1"/>
    <s v="indie rock"/>
  </r>
  <r>
    <n v="342"/>
    <s v="Gibson-Hernandez"/>
    <s v="Visionary foreground middleware"/>
    <n v="47900"/>
    <n v="31864"/>
    <x v="0"/>
    <n v="328"/>
    <s v="US"/>
    <s v="USD"/>
    <n v="66.521920668058456"/>
    <n v="1374296400"/>
    <n v="97.146341463414629"/>
    <n v="1375333200"/>
    <x v="327"/>
    <d v="2013-08-01T05:00:00"/>
    <b v="0"/>
    <b v="0"/>
    <s v="theater/plays"/>
    <x v="3"/>
    <s v="plays"/>
  </r>
  <r>
    <n v="343"/>
    <s v="Spencer-Weber"/>
    <s v="Optional zero-defect task-force"/>
    <n v="9000"/>
    <n v="4853"/>
    <x v="0"/>
    <n v="147"/>
    <s v="US"/>
    <s v="USD"/>
    <n v="53.922222222222224"/>
    <n v="1384840800"/>
    <n v="33.013605442176868"/>
    <n v="1389420000"/>
    <x v="328"/>
    <d v="2014-01-11T06:00:00"/>
    <b v="0"/>
    <b v="0"/>
    <s v="theater/plays"/>
    <x v="3"/>
    <s v="plays"/>
  </r>
  <r>
    <n v="344"/>
    <s v="Berger, Johnson and Marshall"/>
    <s v="Devolved exuding emulation"/>
    <n v="197600"/>
    <n v="82959"/>
    <x v="0"/>
    <n v="830"/>
    <s v="US"/>
    <s v="USD"/>
    <n v="41.983299595141702"/>
    <n v="1516600800"/>
    <n v="99.950602409638549"/>
    <n v="1520056800"/>
    <x v="329"/>
    <d v="2018-03-03T06:00:00"/>
    <b v="0"/>
    <b v="0"/>
    <s v="games/video games"/>
    <x v="6"/>
    <s v="video games"/>
  </r>
  <r>
    <n v="345"/>
    <s v="Taylor, Cisneros and Romero"/>
    <s v="Open-source neutral task-force"/>
    <n v="157600"/>
    <n v="23159"/>
    <x v="0"/>
    <n v="331"/>
    <s v="GB"/>
    <s v="GBP"/>
    <n v="14.69479695431472"/>
    <n v="1436418000"/>
    <n v="69.966767371601208"/>
    <n v="1436504400"/>
    <x v="330"/>
    <d v="2015-07-10T05:00:00"/>
    <b v="0"/>
    <b v="0"/>
    <s v="film &amp; video/drama"/>
    <x v="4"/>
    <s v="drama"/>
  </r>
  <r>
    <n v="346"/>
    <s v="Little-Marsh"/>
    <s v="Virtual attitude-oriented migration"/>
    <n v="8000"/>
    <n v="2758"/>
    <x v="0"/>
    <n v="25"/>
    <s v="US"/>
    <s v="USD"/>
    <n v="34.475000000000001"/>
    <n v="1503550800"/>
    <n v="110.32"/>
    <n v="1508302800"/>
    <x v="331"/>
    <d v="2017-10-18T05:00:00"/>
    <b v="0"/>
    <b v="1"/>
    <s v="music/indie rock"/>
    <x v="1"/>
    <s v="indie rock"/>
  </r>
  <r>
    <n v="347"/>
    <s v="Petersen and Sons"/>
    <s v="Open-source full-range portal"/>
    <n v="900"/>
    <n v="12607"/>
    <x v="1"/>
    <n v="191"/>
    <s v="US"/>
    <s v="USD"/>
    <n v="1400.7777777777778"/>
    <n v="1423634400"/>
    <n v="66.005235602094245"/>
    <n v="1425708000"/>
    <x v="332"/>
    <d v="2015-03-07T06:00:00"/>
    <b v="0"/>
    <b v="0"/>
    <s v="technology/web"/>
    <x v="2"/>
    <s v="web"/>
  </r>
  <r>
    <n v="348"/>
    <s v="Hensley Ltd"/>
    <s v="Versatile cohesive open system"/>
    <n v="199000"/>
    <n v="142823"/>
    <x v="0"/>
    <n v="3483"/>
    <s v="US"/>
    <s v="USD"/>
    <n v="71.770351758793964"/>
    <n v="1487224800"/>
    <n v="41.005742176284812"/>
    <n v="1488348000"/>
    <x v="333"/>
    <d v="2017-03-01T06:00:00"/>
    <b v="0"/>
    <b v="0"/>
    <s v="food/food trucks"/>
    <x v="0"/>
    <s v="food trucks"/>
  </r>
  <r>
    <n v="349"/>
    <s v="Navarro and Sons"/>
    <s v="Multi-layered bottom-line frame"/>
    <n v="180800"/>
    <n v="95958"/>
    <x v="0"/>
    <n v="923"/>
    <s v="US"/>
    <s v="USD"/>
    <n v="53.074115044247783"/>
    <n v="1500008400"/>
    <n v="103.96316359696641"/>
    <n v="1502600400"/>
    <x v="296"/>
    <d v="2017-08-13T05:00:00"/>
    <b v="0"/>
    <b v="0"/>
    <s v="theater/plays"/>
    <x v="3"/>
    <s v="plays"/>
  </r>
  <r>
    <n v="350"/>
    <s v="Shannon Ltd"/>
    <s v="Pre-emptive neutral capacity"/>
    <n v="100"/>
    <n v="5"/>
    <x v="0"/>
    <n v="1"/>
    <s v="US"/>
    <s v="USD"/>
    <n v="5"/>
    <n v="1432098000"/>
    <n v="5"/>
    <n v="1433653200"/>
    <x v="334"/>
    <d v="2015-06-07T05:00:00"/>
    <b v="0"/>
    <b v="1"/>
    <s v="music/jazz"/>
    <x v="1"/>
    <s v="jazz"/>
  </r>
  <r>
    <n v="351"/>
    <s v="Young LLC"/>
    <s v="Universal maximized methodology"/>
    <n v="74100"/>
    <n v="94631"/>
    <x v="1"/>
    <n v="2013"/>
    <s v="US"/>
    <s v="USD"/>
    <n v="127.70715249662618"/>
    <n v="1440392400"/>
    <n v="47.009935419771487"/>
    <n v="1441602000"/>
    <x v="335"/>
    <d v="2015-09-07T05:00:00"/>
    <b v="0"/>
    <b v="0"/>
    <s v="music/rock"/>
    <x v="1"/>
    <s v="rock"/>
  </r>
  <r>
    <n v="352"/>
    <s v="Adams, Willis and Sanchez"/>
    <s v="Expanded hybrid hardware"/>
    <n v="2800"/>
    <n v="977"/>
    <x v="0"/>
    <n v="33"/>
    <s v="CA"/>
    <s v="CAD"/>
    <n v="34.892857142857139"/>
    <n v="1446876000"/>
    <n v="29.606060606060606"/>
    <n v="1447567200"/>
    <x v="336"/>
    <d v="2015-11-15T06:00:00"/>
    <b v="0"/>
    <b v="0"/>
    <s v="theater/plays"/>
    <x v="3"/>
    <s v="plays"/>
  </r>
  <r>
    <n v="353"/>
    <s v="Mills-Roy"/>
    <s v="Profit-focused multi-tasking access"/>
    <n v="33600"/>
    <n v="137961"/>
    <x v="1"/>
    <n v="1703"/>
    <s v="US"/>
    <s v="USD"/>
    <n v="410.59821428571428"/>
    <n v="1562302800"/>
    <n v="81.010569583088667"/>
    <n v="1562389200"/>
    <x v="337"/>
    <d v="2019-07-06T05:00:00"/>
    <b v="0"/>
    <b v="0"/>
    <s v="theater/plays"/>
    <x v="3"/>
    <s v="plays"/>
  </r>
  <r>
    <n v="354"/>
    <s v="Brown Group"/>
    <s v="Profit-focused transitional capability"/>
    <n v="6100"/>
    <n v="7548"/>
    <x v="1"/>
    <n v="80"/>
    <s v="DK"/>
    <s v="DKK"/>
    <n v="123.73770491803278"/>
    <n v="1378184400"/>
    <n v="94.35"/>
    <n v="1378789200"/>
    <x v="338"/>
    <d v="2013-09-10T05:00:00"/>
    <b v="0"/>
    <b v="0"/>
    <s v="film &amp; video/documentary"/>
    <x v="4"/>
    <s v="documentary"/>
  </r>
  <r>
    <n v="355"/>
    <s v="Burns-Burnett"/>
    <s v="Front-line scalable definition"/>
    <n v="3800"/>
    <n v="2241"/>
    <x v="2"/>
    <n v="86"/>
    <s v="US"/>
    <s v="USD"/>
    <n v="58.973684210526315"/>
    <n v="1485064800"/>
    <n v="26.058139534883722"/>
    <n v="1488520800"/>
    <x v="339"/>
    <d v="2017-03-03T06:00:00"/>
    <b v="0"/>
    <b v="0"/>
    <s v="technology/wearables"/>
    <x v="2"/>
    <s v="wearables"/>
  </r>
  <r>
    <n v="356"/>
    <s v="Glass, Nunez and Mcdonald"/>
    <s v="Open-source systematic protocol"/>
    <n v="9300"/>
    <n v="3431"/>
    <x v="0"/>
    <n v="40"/>
    <s v="IT"/>
    <s v="EUR"/>
    <n v="36.892473118279568"/>
    <n v="1326520800"/>
    <n v="85.775000000000006"/>
    <n v="1327298400"/>
    <x v="340"/>
    <d v="2012-01-23T06:00:00"/>
    <b v="0"/>
    <b v="0"/>
    <s v="theater/plays"/>
    <x v="3"/>
    <s v="plays"/>
  </r>
  <r>
    <n v="357"/>
    <s v="Perez, Davis and Wilson"/>
    <s v="Implemented tangible algorithm"/>
    <n v="2300"/>
    <n v="4253"/>
    <x v="1"/>
    <n v="41"/>
    <s v="US"/>
    <s v="USD"/>
    <n v="184.91304347826087"/>
    <n v="1441256400"/>
    <n v="103.73170731707317"/>
    <n v="1443416400"/>
    <x v="341"/>
    <d v="2015-09-28T05:00:00"/>
    <b v="0"/>
    <b v="0"/>
    <s v="games/video games"/>
    <x v="6"/>
    <s v="video games"/>
  </r>
  <r>
    <n v="358"/>
    <s v="Diaz-Garcia"/>
    <s v="Profit-focused 3rdgeneration circuit"/>
    <n v="9700"/>
    <n v="1146"/>
    <x v="0"/>
    <n v="23"/>
    <s v="CA"/>
    <s v="CAD"/>
    <n v="11.814432989690722"/>
    <n v="1533877200"/>
    <n v="49.826086956521742"/>
    <n v="1534136400"/>
    <x v="342"/>
    <d v="2018-08-13T05:00:00"/>
    <b v="1"/>
    <b v="0"/>
    <s v="photography/photography books"/>
    <x v="7"/>
    <s v="photography books"/>
  </r>
  <r>
    <n v="359"/>
    <s v="Salazar-Moon"/>
    <s v="Compatible needs-based architecture"/>
    <n v="4000"/>
    <n v="11948"/>
    <x v="1"/>
    <n v="187"/>
    <s v="US"/>
    <s v="USD"/>
    <n v="298.7"/>
    <n v="1314421200"/>
    <n v="63.893048128342244"/>
    <n v="1315026000"/>
    <x v="343"/>
    <d v="2011-09-03T05:00:00"/>
    <b v="0"/>
    <b v="0"/>
    <s v="film &amp; video/animation"/>
    <x v="4"/>
    <s v="animation"/>
  </r>
  <r>
    <n v="360"/>
    <s v="Larsen-Chung"/>
    <s v="Right-sized zero tolerance migration"/>
    <n v="59700"/>
    <n v="135132"/>
    <x v="1"/>
    <n v="2875"/>
    <s v="GB"/>
    <s v="GBP"/>
    <n v="226.35175879396985"/>
    <n v="1293861600"/>
    <n v="47.002434782608695"/>
    <n v="1295071200"/>
    <x v="344"/>
    <d v="2011-01-15T06:00:00"/>
    <b v="0"/>
    <b v="1"/>
    <s v="theater/plays"/>
    <x v="3"/>
    <s v="plays"/>
  </r>
  <r>
    <n v="361"/>
    <s v="Anderson and Sons"/>
    <s v="Quality-focused reciprocal structure"/>
    <n v="5500"/>
    <n v="9546"/>
    <x v="1"/>
    <n v="88"/>
    <s v="US"/>
    <s v="USD"/>
    <n v="173.56363636363636"/>
    <n v="1507352400"/>
    <n v="108.47727272727273"/>
    <n v="1509426000"/>
    <x v="345"/>
    <d v="2017-10-31T05:00:00"/>
    <b v="0"/>
    <b v="0"/>
    <s v="theater/plays"/>
    <x v="3"/>
    <s v="plays"/>
  </r>
  <r>
    <n v="362"/>
    <s v="Lawrence Group"/>
    <s v="Automated actuating conglomeration"/>
    <n v="3700"/>
    <n v="13755"/>
    <x v="1"/>
    <n v="191"/>
    <s v="US"/>
    <s v="USD"/>
    <n v="371.75675675675677"/>
    <n v="1296108000"/>
    <n v="72.015706806282722"/>
    <n v="1299391200"/>
    <x v="65"/>
    <d v="2011-03-06T06:00:00"/>
    <b v="0"/>
    <b v="0"/>
    <s v="music/rock"/>
    <x v="1"/>
    <s v="rock"/>
  </r>
  <r>
    <n v="363"/>
    <s v="Gray-Davis"/>
    <s v="Re-contextualized local initiative"/>
    <n v="5200"/>
    <n v="8330"/>
    <x v="1"/>
    <n v="139"/>
    <s v="US"/>
    <s v="USD"/>
    <n v="160.19230769230771"/>
    <n v="1324965600"/>
    <n v="59.928057553956833"/>
    <n v="1325052000"/>
    <x v="346"/>
    <d v="2011-12-28T06:00:00"/>
    <b v="0"/>
    <b v="0"/>
    <s v="music/rock"/>
    <x v="1"/>
    <s v="rock"/>
  </r>
  <r>
    <n v="364"/>
    <s v="Ramirez-Myers"/>
    <s v="Switchable intangible definition"/>
    <n v="900"/>
    <n v="14547"/>
    <x v="1"/>
    <n v="186"/>
    <s v="US"/>
    <s v="USD"/>
    <n v="1616.3333333333335"/>
    <n v="1520229600"/>
    <n v="78.209677419354833"/>
    <n v="1522818000"/>
    <x v="347"/>
    <d v="2018-04-04T05:00:00"/>
    <b v="0"/>
    <b v="0"/>
    <s v="music/indie rock"/>
    <x v="1"/>
    <s v="indie rock"/>
  </r>
  <r>
    <n v="365"/>
    <s v="Lucas, Hall and Bonilla"/>
    <s v="Networked bottom-line initiative"/>
    <n v="1600"/>
    <n v="11735"/>
    <x v="1"/>
    <n v="112"/>
    <s v="AU"/>
    <s v="AUD"/>
    <n v="733.4375"/>
    <n v="1482991200"/>
    <n v="104.77678571428571"/>
    <n v="1485324000"/>
    <x v="348"/>
    <d v="2017-01-25T06:00:00"/>
    <b v="0"/>
    <b v="0"/>
    <s v="theater/plays"/>
    <x v="3"/>
    <s v="plays"/>
  </r>
  <r>
    <n v="366"/>
    <s v="Williams, Perez and Villegas"/>
    <s v="Robust directional system engine"/>
    <n v="1800"/>
    <n v="10658"/>
    <x v="1"/>
    <n v="101"/>
    <s v="US"/>
    <s v="USD"/>
    <n v="592.11111111111109"/>
    <n v="1294034400"/>
    <n v="105.52475247524752"/>
    <n v="1294120800"/>
    <x v="349"/>
    <d v="2011-01-04T06:00:00"/>
    <b v="0"/>
    <b v="1"/>
    <s v="theater/plays"/>
    <x v="3"/>
    <s v="plays"/>
  </r>
  <r>
    <n v="367"/>
    <s v="Brooks, Jones and Ingram"/>
    <s v="Triple-buffered explicit methodology"/>
    <n v="9900"/>
    <n v="1870"/>
    <x v="0"/>
    <n v="75"/>
    <s v="US"/>
    <s v="USD"/>
    <n v="18.888888888888889"/>
    <n v="1413608400"/>
    <n v="24.933333333333334"/>
    <n v="1415685600"/>
    <x v="350"/>
    <d v="2014-11-11T06:00:00"/>
    <b v="0"/>
    <b v="1"/>
    <s v="theater/plays"/>
    <x v="3"/>
    <s v="plays"/>
  </r>
  <r>
    <n v="368"/>
    <s v="Whitaker, Wallace and Daniels"/>
    <s v="Reactive directional capacity"/>
    <n v="5200"/>
    <n v="14394"/>
    <x v="1"/>
    <n v="206"/>
    <s v="GB"/>
    <s v="GBP"/>
    <n v="276.80769230769232"/>
    <n v="1286946000"/>
    <n v="69.873786407766985"/>
    <n v="1288933200"/>
    <x v="351"/>
    <d v="2010-11-05T05:00:00"/>
    <b v="0"/>
    <b v="1"/>
    <s v="film &amp; video/documentary"/>
    <x v="4"/>
    <s v="documentary"/>
  </r>
  <r>
    <n v="369"/>
    <s v="Smith-Gonzalez"/>
    <s v="Polarized needs-based approach"/>
    <n v="5400"/>
    <n v="14743"/>
    <x v="1"/>
    <n v="154"/>
    <s v="US"/>
    <s v="USD"/>
    <n v="273.01851851851848"/>
    <n v="1359871200"/>
    <n v="95.733766233766232"/>
    <n v="1363237200"/>
    <x v="352"/>
    <d v="2013-03-14T05:00:00"/>
    <b v="0"/>
    <b v="1"/>
    <s v="film &amp; video/television"/>
    <x v="4"/>
    <s v="television"/>
  </r>
  <r>
    <n v="370"/>
    <s v="Skinner PLC"/>
    <s v="Intuitive well-modulated middleware"/>
    <n v="112300"/>
    <n v="178965"/>
    <x v="1"/>
    <n v="5966"/>
    <s v="US"/>
    <s v="USD"/>
    <n v="159.36331255565449"/>
    <n v="1555304400"/>
    <n v="29.997485752598056"/>
    <n v="1555822800"/>
    <x v="353"/>
    <d v="2019-04-21T05:00:00"/>
    <b v="0"/>
    <b v="0"/>
    <s v="theater/plays"/>
    <x v="3"/>
    <s v="plays"/>
  </r>
  <r>
    <n v="371"/>
    <s v="Nolan, Smith and Sanchez"/>
    <s v="Multi-channeled logistical matrices"/>
    <n v="189200"/>
    <n v="128410"/>
    <x v="0"/>
    <n v="2176"/>
    <s v="US"/>
    <s v="USD"/>
    <n v="67.869978858350947"/>
    <n v="1423375200"/>
    <n v="59.011948529411768"/>
    <n v="1427778000"/>
    <x v="354"/>
    <d v="2015-03-31T05:00:00"/>
    <b v="0"/>
    <b v="0"/>
    <s v="theater/plays"/>
    <x v="3"/>
    <s v="plays"/>
  </r>
  <r>
    <n v="372"/>
    <s v="Green-Carr"/>
    <s v="Pre-emptive bifurcated artificial intelligence"/>
    <n v="900"/>
    <n v="14324"/>
    <x v="1"/>
    <n v="169"/>
    <s v="US"/>
    <s v="USD"/>
    <n v="1591.5555555555554"/>
    <n v="1420696800"/>
    <n v="84.757396449704146"/>
    <n v="1422424800"/>
    <x v="355"/>
    <d v="2015-01-28T06:00:00"/>
    <b v="0"/>
    <b v="1"/>
    <s v="film &amp; video/documentary"/>
    <x v="4"/>
    <s v="documentary"/>
  </r>
  <r>
    <n v="373"/>
    <s v="Brown-Parker"/>
    <s v="Down-sized coherent toolset"/>
    <n v="22500"/>
    <n v="164291"/>
    <x v="1"/>
    <n v="2106"/>
    <s v="US"/>
    <s v="USD"/>
    <n v="730.18222222222221"/>
    <n v="1502946000"/>
    <n v="78.010921177587846"/>
    <n v="1503637200"/>
    <x v="356"/>
    <d v="2017-08-25T05:00:00"/>
    <b v="0"/>
    <b v="0"/>
    <s v="theater/plays"/>
    <x v="3"/>
    <s v="plays"/>
  </r>
  <r>
    <n v="374"/>
    <s v="Marshall Inc"/>
    <s v="Open-source multi-tasking data-warehouse"/>
    <n v="167400"/>
    <n v="22073"/>
    <x v="0"/>
    <n v="441"/>
    <s v="US"/>
    <s v="USD"/>
    <n v="13.185782556750297"/>
    <n v="1547186400"/>
    <n v="50.05215419501134"/>
    <n v="1547618400"/>
    <x v="357"/>
    <d v="2019-01-16T06:00:00"/>
    <b v="0"/>
    <b v="1"/>
    <s v="film &amp; video/documentary"/>
    <x v="4"/>
    <s v="documentary"/>
  </r>
  <r>
    <n v="375"/>
    <s v="Leblanc-Pineda"/>
    <s v="Future-proofed upward-trending contingency"/>
    <n v="2700"/>
    <n v="1479"/>
    <x v="0"/>
    <n v="25"/>
    <s v="US"/>
    <s v="USD"/>
    <n v="54.777777777777779"/>
    <n v="1444971600"/>
    <n v="59.16"/>
    <n v="1449900000"/>
    <x v="358"/>
    <d v="2015-12-12T06:00:00"/>
    <b v="0"/>
    <b v="0"/>
    <s v="music/indie rock"/>
    <x v="1"/>
    <s v="indie rock"/>
  </r>
  <r>
    <n v="376"/>
    <s v="Perry PLC"/>
    <s v="Mandatory uniform matrix"/>
    <n v="3400"/>
    <n v="12275"/>
    <x v="1"/>
    <n v="131"/>
    <s v="US"/>
    <s v="USD"/>
    <n v="361.02941176470591"/>
    <n v="1404622800"/>
    <n v="93.702290076335885"/>
    <n v="1405141200"/>
    <x v="359"/>
    <d v="2014-07-12T05:00:00"/>
    <b v="0"/>
    <b v="0"/>
    <s v="music/rock"/>
    <x v="1"/>
    <s v="rock"/>
  </r>
  <r>
    <n v="377"/>
    <s v="Klein, Stark and Livingston"/>
    <s v="Phased methodical initiative"/>
    <n v="49700"/>
    <n v="5098"/>
    <x v="0"/>
    <n v="127"/>
    <s v="US"/>
    <s v="USD"/>
    <n v="10.257545271629779"/>
    <n v="1571720400"/>
    <n v="40.14173228346457"/>
    <n v="1572933600"/>
    <x v="12"/>
    <d v="2019-11-05T06:00:00"/>
    <b v="0"/>
    <b v="0"/>
    <s v="theater/plays"/>
    <x v="3"/>
    <s v="plays"/>
  </r>
  <r>
    <n v="378"/>
    <s v="Fleming-Oliver"/>
    <s v="Managed stable function"/>
    <n v="178200"/>
    <n v="24882"/>
    <x v="0"/>
    <n v="355"/>
    <s v="US"/>
    <s v="USD"/>
    <n v="13.962962962962964"/>
    <n v="1526878800"/>
    <n v="70.090140845070422"/>
    <n v="1530162000"/>
    <x v="360"/>
    <d v="2018-06-28T05:00:00"/>
    <b v="0"/>
    <b v="0"/>
    <s v="film &amp; video/documentary"/>
    <x v="4"/>
    <s v="documentary"/>
  </r>
  <r>
    <n v="379"/>
    <s v="Reilly, Aguirre and Johnson"/>
    <s v="Realigned clear-thinking migration"/>
    <n v="7200"/>
    <n v="2912"/>
    <x v="0"/>
    <n v="44"/>
    <s v="GB"/>
    <s v="GBP"/>
    <n v="40.444444444444443"/>
    <n v="1319691600"/>
    <n v="66.181818181818187"/>
    <n v="1320904800"/>
    <x v="361"/>
    <d v="2011-11-10T06:00:00"/>
    <b v="0"/>
    <b v="0"/>
    <s v="theater/plays"/>
    <x v="3"/>
    <s v="plays"/>
  </r>
  <r>
    <n v="380"/>
    <s v="Davidson, Wilcox and Lewis"/>
    <s v="Optional clear-thinking process improvement"/>
    <n v="2500"/>
    <n v="4008"/>
    <x v="1"/>
    <n v="84"/>
    <s v="US"/>
    <s v="USD"/>
    <n v="160.32"/>
    <n v="1371963600"/>
    <n v="47.714285714285715"/>
    <n v="1372395600"/>
    <x v="362"/>
    <d v="2013-06-28T05:00:00"/>
    <b v="0"/>
    <b v="0"/>
    <s v="theater/plays"/>
    <x v="3"/>
    <s v="plays"/>
  </r>
  <r>
    <n v="381"/>
    <s v="Michael, Anderson and Vincent"/>
    <s v="Cross-group global moratorium"/>
    <n v="5300"/>
    <n v="9749"/>
    <x v="1"/>
    <n v="155"/>
    <s v="US"/>
    <s v="USD"/>
    <n v="183.9433962264151"/>
    <n v="1433739600"/>
    <n v="62.896774193548389"/>
    <n v="1437714000"/>
    <x v="363"/>
    <d v="2015-07-24T05:00:00"/>
    <b v="0"/>
    <b v="0"/>
    <s v="theater/plays"/>
    <x v="3"/>
    <s v="plays"/>
  </r>
  <r>
    <n v="382"/>
    <s v="King Ltd"/>
    <s v="Visionary systemic process improvement"/>
    <n v="9100"/>
    <n v="5803"/>
    <x v="0"/>
    <n v="67"/>
    <s v="US"/>
    <s v="USD"/>
    <n v="63.769230769230766"/>
    <n v="1508130000"/>
    <n v="86.611940298507463"/>
    <n v="1509771600"/>
    <x v="364"/>
    <d v="2017-11-04T05:00:00"/>
    <b v="0"/>
    <b v="0"/>
    <s v="photography/photography books"/>
    <x v="7"/>
    <s v="photography books"/>
  </r>
  <r>
    <n v="383"/>
    <s v="Baker Ltd"/>
    <s v="Progressive intangible flexibility"/>
    <n v="6300"/>
    <n v="14199"/>
    <x v="1"/>
    <n v="189"/>
    <s v="US"/>
    <s v="USD"/>
    <n v="225.38095238095238"/>
    <n v="1550037600"/>
    <n v="75.126984126984127"/>
    <n v="1550556000"/>
    <x v="210"/>
    <d v="2019-02-19T06:00:00"/>
    <b v="0"/>
    <b v="1"/>
    <s v="food/food trucks"/>
    <x v="0"/>
    <s v="food trucks"/>
  </r>
  <r>
    <n v="384"/>
    <s v="Baker, Collins and Smith"/>
    <s v="Reactive real-time software"/>
    <n v="114400"/>
    <n v="196779"/>
    <x v="1"/>
    <n v="4799"/>
    <s v="US"/>
    <s v="USD"/>
    <n v="172.00961538461539"/>
    <n v="1486706400"/>
    <n v="41.004167534903104"/>
    <n v="1489039200"/>
    <x v="365"/>
    <d v="2017-03-09T06:00:00"/>
    <b v="1"/>
    <b v="1"/>
    <s v="film &amp; video/documentary"/>
    <x v="4"/>
    <s v="documentary"/>
  </r>
  <r>
    <n v="385"/>
    <s v="Warren-Harrison"/>
    <s v="Programmable incremental knowledge user"/>
    <n v="38900"/>
    <n v="56859"/>
    <x v="1"/>
    <n v="1137"/>
    <s v="US"/>
    <s v="USD"/>
    <n v="146.16709511568124"/>
    <n v="1553835600"/>
    <n v="50.007915567282325"/>
    <n v="1556600400"/>
    <x v="366"/>
    <d v="2019-04-30T05:00:00"/>
    <b v="0"/>
    <b v="0"/>
    <s v="publishing/nonfiction"/>
    <x v="5"/>
    <s v="nonfiction"/>
  </r>
  <r>
    <n v="386"/>
    <s v="Gardner Group"/>
    <s v="Progressive 5thgeneration customer loyalty"/>
    <n v="135500"/>
    <n v="103554"/>
    <x v="0"/>
    <n v="1068"/>
    <s v="US"/>
    <s v="USD"/>
    <n v="76.42361623616236"/>
    <n v="1277528400"/>
    <n v="96.960674157303373"/>
    <n v="1278565200"/>
    <x v="367"/>
    <d v="2010-07-08T05:00:00"/>
    <b v="0"/>
    <b v="0"/>
    <s v="theater/plays"/>
    <x v="3"/>
    <s v="plays"/>
  </r>
  <r>
    <n v="387"/>
    <s v="Flores-Lambert"/>
    <s v="Triple-buffered logistical frame"/>
    <n v="109000"/>
    <n v="42795"/>
    <x v="0"/>
    <n v="424"/>
    <s v="US"/>
    <s v="USD"/>
    <n v="39.261467889908261"/>
    <n v="1339477200"/>
    <n v="100.93160377358491"/>
    <n v="1339909200"/>
    <x v="368"/>
    <d v="2012-06-17T05:00:00"/>
    <b v="0"/>
    <b v="0"/>
    <s v="technology/wearables"/>
    <x v="2"/>
    <s v="wearables"/>
  </r>
  <r>
    <n v="388"/>
    <s v="Cruz Ltd"/>
    <s v="Exclusive dynamic adapter"/>
    <n v="114800"/>
    <n v="12938"/>
    <x v="3"/>
    <n v="145"/>
    <s v="CH"/>
    <s v="CHF"/>
    <n v="11.270034843205574"/>
    <n v="1325656800"/>
    <n v="89.227586206896547"/>
    <n v="1325829600"/>
    <x v="369"/>
    <d v="2012-01-06T06:00:00"/>
    <b v="0"/>
    <b v="0"/>
    <s v="music/indie rock"/>
    <x v="1"/>
    <s v="indie rock"/>
  </r>
  <r>
    <n v="389"/>
    <s v="Knox-Garner"/>
    <s v="Automated systemic hierarchy"/>
    <n v="83000"/>
    <n v="101352"/>
    <x v="1"/>
    <n v="1152"/>
    <s v="US"/>
    <s v="USD"/>
    <n v="122.11084337349398"/>
    <n v="1288242000"/>
    <n v="87.979166666666671"/>
    <n v="1290578400"/>
    <x v="370"/>
    <d v="2010-11-24T06:00:00"/>
    <b v="0"/>
    <b v="0"/>
    <s v="theater/plays"/>
    <x v="3"/>
    <s v="plays"/>
  </r>
  <r>
    <n v="390"/>
    <s v="Davis-Allen"/>
    <s v="Digitized eco-centric core"/>
    <n v="2400"/>
    <n v="4477"/>
    <x v="1"/>
    <n v="50"/>
    <s v="US"/>
    <s v="USD"/>
    <n v="186.54166666666669"/>
    <n v="1379048400"/>
    <n v="89.54"/>
    <n v="1380344400"/>
    <x v="371"/>
    <d v="2013-09-28T05:00:00"/>
    <b v="0"/>
    <b v="0"/>
    <s v="photography/photography books"/>
    <x v="7"/>
    <s v="photography books"/>
  </r>
  <r>
    <n v="391"/>
    <s v="Miller-Patel"/>
    <s v="Mandatory uniform strategy"/>
    <n v="60400"/>
    <n v="4393"/>
    <x v="0"/>
    <n v="151"/>
    <s v="US"/>
    <s v="USD"/>
    <n v="7.2731788079470201"/>
    <n v="1389679200"/>
    <n v="29.09271523178808"/>
    <n v="1389852000"/>
    <x v="287"/>
    <d v="2014-01-16T06:00:00"/>
    <b v="0"/>
    <b v="0"/>
    <s v="publishing/nonfiction"/>
    <x v="5"/>
    <s v="nonfiction"/>
  </r>
  <r>
    <n v="392"/>
    <s v="Hernandez-Grimes"/>
    <s v="Profit-focused zero administration forecast"/>
    <n v="102900"/>
    <n v="67546"/>
    <x v="0"/>
    <n v="1608"/>
    <s v="US"/>
    <s v="USD"/>
    <n v="65.642371234207957"/>
    <n v="1294293600"/>
    <n v="42.006218905472636"/>
    <n v="1294466400"/>
    <x v="372"/>
    <d v="2011-01-08T06:00:00"/>
    <b v="0"/>
    <b v="0"/>
    <s v="technology/wearables"/>
    <x v="2"/>
    <s v="wearables"/>
  </r>
  <r>
    <n v="393"/>
    <s v="Owens, Hall and Gonzalez"/>
    <s v="De-engineered static orchestration"/>
    <n v="62800"/>
    <n v="143788"/>
    <x v="1"/>
    <n v="3059"/>
    <s v="CA"/>
    <s v="CAD"/>
    <n v="228.96178343949046"/>
    <n v="1500267600"/>
    <n v="47.004903563255965"/>
    <n v="1500354000"/>
    <x v="373"/>
    <d v="2017-07-18T05:00:00"/>
    <b v="0"/>
    <b v="0"/>
    <s v="music/jazz"/>
    <x v="1"/>
    <s v="jazz"/>
  </r>
  <r>
    <n v="394"/>
    <s v="Noble-Bailey"/>
    <s v="Customizable dynamic info-mediaries"/>
    <n v="800"/>
    <n v="3755"/>
    <x v="1"/>
    <n v="34"/>
    <s v="US"/>
    <s v="USD"/>
    <n v="469.37499999999994"/>
    <n v="1375074000"/>
    <n v="110.44117647058823"/>
    <n v="1375938000"/>
    <x v="374"/>
    <d v="2013-08-08T05:00:00"/>
    <b v="0"/>
    <b v="1"/>
    <s v="film &amp; video/documentary"/>
    <x v="4"/>
    <s v="documentary"/>
  </r>
  <r>
    <n v="395"/>
    <s v="Taylor PLC"/>
    <s v="Enhanced incremental budgetary management"/>
    <n v="7100"/>
    <n v="9238"/>
    <x v="1"/>
    <n v="220"/>
    <s v="US"/>
    <s v="USD"/>
    <n v="130.11267605633802"/>
    <n v="1323324000"/>
    <n v="41.990909090909092"/>
    <n v="1323410400"/>
    <x v="375"/>
    <d v="2011-12-09T06:00:00"/>
    <b v="1"/>
    <b v="0"/>
    <s v="theater/plays"/>
    <x v="3"/>
    <s v="plays"/>
  </r>
  <r>
    <n v="396"/>
    <s v="Holmes PLC"/>
    <s v="Digitized local info-mediaries"/>
    <n v="46100"/>
    <n v="77012"/>
    <x v="1"/>
    <n v="1604"/>
    <s v="AU"/>
    <s v="AUD"/>
    <n v="167.05422993492408"/>
    <n v="1538715600"/>
    <n v="48.012468827930178"/>
    <n v="1539406800"/>
    <x v="376"/>
    <d v="2018-10-13T05:00:00"/>
    <b v="0"/>
    <b v="0"/>
    <s v="film &amp; video/drama"/>
    <x v="4"/>
    <s v="drama"/>
  </r>
  <r>
    <n v="397"/>
    <s v="Jones-Martin"/>
    <s v="Virtual systematic monitoring"/>
    <n v="8100"/>
    <n v="14083"/>
    <x v="1"/>
    <n v="454"/>
    <s v="US"/>
    <s v="USD"/>
    <n v="173.8641975308642"/>
    <n v="1369285200"/>
    <n v="31.019823788546255"/>
    <n v="1369803600"/>
    <x v="377"/>
    <d v="2013-05-29T05:00:00"/>
    <b v="0"/>
    <b v="0"/>
    <s v="music/rock"/>
    <x v="1"/>
    <s v="rock"/>
  </r>
  <r>
    <n v="398"/>
    <s v="Myers LLC"/>
    <s v="Reactive bottom-line open architecture"/>
    <n v="1700"/>
    <n v="12202"/>
    <x v="1"/>
    <n v="123"/>
    <s v="IT"/>
    <s v="EUR"/>
    <n v="717.76470588235293"/>
    <n v="1525755600"/>
    <n v="99.203252032520325"/>
    <n v="1525928400"/>
    <x v="378"/>
    <d v="2018-05-10T05:00:00"/>
    <b v="0"/>
    <b v="1"/>
    <s v="film &amp; video/animation"/>
    <x v="4"/>
    <s v="animation"/>
  </r>
  <r>
    <n v="399"/>
    <s v="Acosta, Mullins and Morris"/>
    <s v="Pre-emptive interactive model"/>
    <n v="97300"/>
    <n v="62127"/>
    <x v="0"/>
    <n v="941"/>
    <s v="US"/>
    <s v="USD"/>
    <n v="63.850976361767728"/>
    <n v="1296626400"/>
    <n v="66.022316684378325"/>
    <n v="1297231200"/>
    <x v="379"/>
    <d v="2011-02-09T06:00:00"/>
    <b v="0"/>
    <b v="0"/>
    <s v="music/indie rock"/>
    <x v="1"/>
    <s v="indie rock"/>
  </r>
  <r>
    <n v="400"/>
    <s v="Bell PLC"/>
    <s v="Ergonomic eco-centric open architecture"/>
    <n v="100"/>
    <n v="2"/>
    <x v="0"/>
    <n v="1"/>
    <s v="US"/>
    <s v="USD"/>
    <n v="2"/>
    <n v="1376629200"/>
    <n v="2"/>
    <n v="1378530000"/>
    <x v="380"/>
    <d v="2013-09-07T05:00:00"/>
    <b v="0"/>
    <b v="1"/>
    <s v="photography/photography books"/>
    <x v="7"/>
    <s v="photography books"/>
  </r>
  <r>
    <n v="401"/>
    <s v="Smith-Schmidt"/>
    <s v="Inverse radical hierarchy"/>
    <n v="900"/>
    <n v="13772"/>
    <x v="1"/>
    <n v="299"/>
    <s v="US"/>
    <s v="USD"/>
    <n v="1530.2222222222222"/>
    <n v="1572152400"/>
    <n v="46.060200668896321"/>
    <n v="1572152400"/>
    <x v="381"/>
    <d v="2019-10-27T05:00:00"/>
    <b v="0"/>
    <b v="0"/>
    <s v="theater/plays"/>
    <x v="3"/>
    <s v="plays"/>
  </r>
  <r>
    <n v="402"/>
    <s v="Ruiz, Richardson and Cole"/>
    <s v="Team-oriented static interface"/>
    <n v="7300"/>
    <n v="2946"/>
    <x v="0"/>
    <n v="40"/>
    <s v="US"/>
    <s v="USD"/>
    <n v="40.356164383561641"/>
    <n v="1325829600"/>
    <n v="73.650000000000006"/>
    <n v="1329890400"/>
    <x v="382"/>
    <d v="2012-02-22T06:00:00"/>
    <b v="0"/>
    <b v="1"/>
    <s v="film &amp; video/shorts"/>
    <x v="4"/>
    <s v="shorts"/>
  </r>
  <r>
    <n v="403"/>
    <s v="Leonard-Mcclain"/>
    <s v="Virtual foreground throughput"/>
    <n v="195800"/>
    <n v="168820"/>
    <x v="0"/>
    <n v="3015"/>
    <s v="CA"/>
    <s v="CAD"/>
    <n v="86.220633299284984"/>
    <n v="1273640400"/>
    <n v="55.99336650082919"/>
    <n v="1276750800"/>
    <x v="125"/>
    <d v="2010-06-17T05:00:00"/>
    <b v="0"/>
    <b v="1"/>
    <s v="theater/plays"/>
    <x v="3"/>
    <s v="plays"/>
  </r>
  <r>
    <n v="404"/>
    <s v="Bailey-Boyer"/>
    <s v="Visionary exuding Internet solution"/>
    <n v="48900"/>
    <n v="154321"/>
    <x v="1"/>
    <n v="2237"/>
    <s v="US"/>
    <s v="USD"/>
    <n v="315.58486707566465"/>
    <n v="1510639200"/>
    <n v="68.985695127402778"/>
    <n v="1510898400"/>
    <x v="383"/>
    <d v="2017-11-17T06:00:00"/>
    <b v="0"/>
    <b v="0"/>
    <s v="theater/plays"/>
    <x v="3"/>
    <s v="plays"/>
  </r>
  <r>
    <n v="405"/>
    <s v="Lee LLC"/>
    <s v="Synchronized secondary analyzer"/>
    <n v="29600"/>
    <n v="26527"/>
    <x v="0"/>
    <n v="435"/>
    <s v="US"/>
    <s v="USD"/>
    <n v="89.618243243243242"/>
    <n v="1528088400"/>
    <n v="60.981609195402299"/>
    <n v="1532408400"/>
    <x v="384"/>
    <d v="2018-07-24T05:00:00"/>
    <b v="0"/>
    <b v="0"/>
    <s v="theater/plays"/>
    <x v="3"/>
    <s v="plays"/>
  </r>
  <r>
    <n v="406"/>
    <s v="Lyons Inc"/>
    <s v="Balanced attitude-oriented parallelism"/>
    <n v="39300"/>
    <n v="71583"/>
    <x v="1"/>
    <n v="645"/>
    <s v="US"/>
    <s v="USD"/>
    <n v="182.14503816793894"/>
    <n v="1359525600"/>
    <n v="110.98139534883721"/>
    <n v="1360562400"/>
    <x v="385"/>
    <d v="2013-02-11T06:00:00"/>
    <b v="1"/>
    <b v="0"/>
    <s v="film &amp; video/documentary"/>
    <x v="4"/>
    <s v="documentary"/>
  </r>
  <r>
    <n v="407"/>
    <s v="Herrera-Wilson"/>
    <s v="Organized bandwidth-monitored core"/>
    <n v="3400"/>
    <n v="12100"/>
    <x v="1"/>
    <n v="484"/>
    <s v="DK"/>
    <s v="DKK"/>
    <n v="355.88235294117646"/>
    <n v="1570942800"/>
    <n v="25"/>
    <n v="1571547600"/>
    <x v="386"/>
    <d v="2019-10-20T05:00:00"/>
    <b v="0"/>
    <b v="0"/>
    <s v="theater/plays"/>
    <x v="3"/>
    <s v="plays"/>
  </r>
  <r>
    <n v="408"/>
    <s v="Mahoney, Adams and Lucas"/>
    <s v="Cloned leadingedge utilization"/>
    <n v="9200"/>
    <n v="12129"/>
    <x v="1"/>
    <n v="154"/>
    <s v="CA"/>
    <s v="CAD"/>
    <n v="131.83695652173913"/>
    <n v="1466398800"/>
    <n v="78.759740259740255"/>
    <n v="1468126800"/>
    <x v="387"/>
    <d v="2016-07-10T05:00:00"/>
    <b v="0"/>
    <b v="0"/>
    <s v="film &amp; video/documentary"/>
    <x v="4"/>
    <s v="documentary"/>
  </r>
  <r>
    <n v="409"/>
    <s v="Stewart LLC"/>
    <s v="Secured asymmetric projection"/>
    <n v="135600"/>
    <n v="62804"/>
    <x v="0"/>
    <n v="714"/>
    <s v="US"/>
    <s v="USD"/>
    <n v="46.315634218289084"/>
    <n v="1492491600"/>
    <n v="87.960784313725483"/>
    <n v="1492837200"/>
    <x v="388"/>
    <d v="2017-04-22T05:00:00"/>
    <b v="0"/>
    <b v="0"/>
    <s v="music/rock"/>
    <x v="1"/>
    <s v="rock"/>
  </r>
  <r>
    <n v="410"/>
    <s v="Mcmillan Group"/>
    <s v="Advanced cohesive Graphic Interface"/>
    <n v="153700"/>
    <n v="55536"/>
    <x v="2"/>
    <n v="1111"/>
    <s v="US"/>
    <s v="USD"/>
    <n v="36.132726089785294"/>
    <n v="1430197200"/>
    <n v="49.987398739873989"/>
    <n v="1430197200"/>
    <x v="277"/>
    <d v="2015-04-28T05:00:00"/>
    <b v="0"/>
    <b v="0"/>
    <s v="games/mobile games"/>
    <x v="6"/>
    <s v="mobile games"/>
  </r>
  <r>
    <n v="411"/>
    <s v="Beck, Thompson and Martinez"/>
    <s v="Down-sized maximized function"/>
    <n v="7800"/>
    <n v="8161"/>
    <x v="1"/>
    <n v="82"/>
    <s v="US"/>
    <s v="USD"/>
    <n v="104.62820512820512"/>
    <n v="1496034000"/>
    <n v="99.524390243902445"/>
    <n v="1496206800"/>
    <x v="389"/>
    <d v="2017-05-31T05:00:00"/>
    <b v="0"/>
    <b v="0"/>
    <s v="theater/plays"/>
    <x v="3"/>
    <s v="plays"/>
  </r>
  <r>
    <n v="412"/>
    <s v="Rodriguez-Scott"/>
    <s v="Realigned zero tolerance software"/>
    <n v="2100"/>
    <n v="14046"/>
    <x v="1"/>
    <n v="134"/>
    <s v="US"/>
    <s v="USD"/>
    <n v="668.85714285714289"/>
    <n v="1388728800"/>
    <n v="104.82089552238806"/>
    <n v="1389592800"/>
    <x v="390"/>
    <d v="2014-01-13T06:00:00"/>
    <b v="0"/>
    <b v="0"/>
    <s v="publishing/fiction"/>
    <x v="5"/>
    <s v="fiction"/>
  </r>
  <r>
    <n v="413"/>
    <s v="Rush-Bowers"/>
    <s v="Persevering analyzing extranet"/>
    <n v="189500"/>
    <n v="117628"/>
    <x v="2"/>
    <n v="1089"/>
    <s v="US"/>
    <s v="USD"/>
    <n v="62.072823218997364"/>
    <n v="1543298400"/>
    <n v="108.01469237832875"/>
    <n v="1545631200"/>
    <x v="391"/>
    <d v="2018-12-24T06:00:00"/>
    <b v="0"/>
    <b v="0"/>
    <s v="film &amp; video/animation"/>
    <x v="4"/>
    <s v="animation"/>
  </r>
  <r>
    <n v="414"/>
    <s v="Davis and Sons"/>
    <s v="Innovative human-resource migration"/>
    <n v="188200"/>
    <n v="159405"/>
    <x v="0"/>
    <n v="5497"/>
    <s v="US"/>
    <s v="USD"/>
    <n v="84.699787460148784"/>
    <n v="1271739600"/>
    <n v="28.998544660724033"/>
    <n v="1272430800"/>
    <x v="392"/>
    <d v="2010-04-28T05:00:00"/>
    <b v="0"/>
    <b v="1"/>
    <s v="food/food trucks"/>
    <x v="0"/>
    <s v="food trucks"/>
  </r>
  <r>
    <n v="415"/>
    <s v="Anderson-Pham"/>
    <s v="Intuitive needs-based monitoring"/>
    <n v="113500"/>
    <n v="12552"/>
    <x v="0"/>
    <n v="418"/>
    <s v="US"/>
    <s v="USD"/>
    <n v="11.059030837004405"/>
    <n v="1326434400"/>
    <n v="30.028708133971293"/>
    <n v="1327903200"/>
    <x v="393"/>
    <d v="2012-01-30T06:00:00"/>
    <b v="0"/>
    <b v="0"/>
    <s v="theater/plays"/>
    <x v="3"/>
    <s v="plays"/>
  </r>
  <r>
    <n v="416"/>
    <s v="Stewart-Coleman"/>
    <s v="Customer-focused disintermediate toolset"/>
    <n v="134600"/>
    <n v="59007"/>
    <x v="0"/>
    <n v="1439"/>
    <s v="US"/>
    <s v="USD"/>
    <n v="43.838781575037146"/>
    <n v="1295244000"/>
    <n v="41.005559416261292"/>
    <n v="1296021600"/>
    <x v="394"/>
    <d v="2011-01-26T06:00:00"/>
    <b v="0"/>
    <b v="1"/>
    <s v="film &amp; video/documentary"/>
    <x v="4"/>
    <s v="documentary"/>
  </r>
  <r>
    <n v="417"/>
    <s v="Bradshaw, Smith and Ryan"/>
    <s v="Upgradable 24/7 emulation"/>
    <n v="1700"/>
    <n v="943"/>
    <x v="0"/>
    <n v="15"/>
    <s v="US"/>
    <s v="USD"/>
    <n v="55.470588235294116"/>
    <n v="1541221200"/>
    <n v="62.866666666666667"/>
    <n v="1543298400"/>
    <x v="395"/>
    <d v="2018-11-27T06:00:00"/>
    <b v="0"/>
    <b v="0"/>
    <s v="theater/plays"/>
    <x v="3"/>
    <s v="plays"/>
  </r>
  <r>
    <n v="418"/>
    <s v="Jackson PLC"/>
    <s v="Quality-focused client-server core"/>
    <n v="163700"/>
    <n v="93963"/>
    <x v="0"/>
    <n v="1999"/>
    <s v="CA"/>
    <s v="CAD"/>
    <n v="57.399511301160658"/>
    <n v="1336280400"/>
    <n v="47.005002501250623"/>
    <n v="1336366800"/>
    <x v="396"/>
    <d v="2012-05-07T05:00:00"/>
    <b v="0"/>
    <b v="0"/>
    <s v="film &amp; video/documentary"/>
    <x v="4"/>
    <s v="documentary"/>
  </r>
  <r>
    <n v="419"/>
    <s v="Ware-Arias"/>
    <s v="Upgradable maximized protocol"/>
    <n v="113800"/>
    <n v="140469"/>
    <x v="1"/>
    <n v="5203"/>
    <s v="US"/>
    <s v="USD"/>
    <n v="123.43497363796135"/>
    <n v="1324533600"/>
    <n v="26.997693638285604"/>
    <n v="1325052000"/>
    <x v="397"/>
    <d v="2011-12-28T06:00:00"/>
    <b v="0"/>
    <b v="0"/>
    <s v="technology/web"/>
    <x v="2"/>
    <s v="web"/>
  </r>
  <r>
    <n v="420"/>
    <s v="Blair, Reyes and Woods"/>
    <s v="Cross-platform interactive synergy"/>
    <n v="5000"/>
    <n v="6423"/>
    <x v="1"/>
    <n v="94"/>
    <s v="US"/>
    <s v="USD"/>
    <n v="128.46"/>
    <n v="1498366800"/>
    <n v="68.329787234042556"/>
    <n v="1499576400"/>
    <x v="398"/>
    <d v="2017-07-09T05:00:00"/>
    <b v="0"/>
    <b v="0"/>
    <s v="theater/plays"/>
    <x v="3"/>
    <s v="plays"/>
  </r>
  <r>
    <n v="421"/>
    <s v="Thomas-Lopez"/>
    <s v="User-centric fault-tolerant archive"/>
    <n v="9400"/>
    <n v="6015"/>
    <x v="0"/>
    <n v="118"/>
    <s v="US"/>
    <s v="USD"/>
    <n v="63.989361702127653"/>
    <n v="1498712400"/>
    <n v="50.974576271186443"/>
    <n v="1501304400"/>
    <x v="399"/>
    <d v="2017-07-29T05:00:00"/>
    <b v="0"/>
    <b v="1"/>
    <s v="technology/wearables"/>
    <x v="2"/>
    <s v="wearables"/>
  </r>
  <r>
    <n v="422"/>
    <s v="Brown, Davies and Pacheco"/>
    <s v="Reverse-engineered regional knowledge user"/>
    <n v="8700"/>
    <n v="11075"/>
    <x v="1"/>
    <n v="205"/>
    <s v="US"/>
    <s v="USD"/>
    <n v="127.29885057471265"/>
    <n v="1271480400"/>
    <n v="54.024390243902438"/>
    <n v="1273208400"/>
    <x v="400"/>
    <d v="2010-05-07T05:00:00"/>
    <b v="0"/>
    <b v="1"/>
    <s v="theater/plays"/>
    <x v="3"/>
    <s v="plays"/>
  </r>
  <r>
    <n v="423"/>
    <s v="Jones-Riddle"/>
    <s v="Self-enabling real-time definition"/>
    <n v="147800"/>
    <n v="15723"/>
    <x v="0"/>
    <n v="162"/>
    <s v="US"/>
    <s v="USD"/>
    <n v="10.638024357239512"/>
    <n v="1316667600"/>
    <n v="97.055555555555557"/>
    <n v="1316840400"/>
    <x v="116"/>
    <d v="2011-09-24T05:00:00"/>
    <b v="0"/>
    <b v="1"/>
    <s v="food/food trucks"/>
    <x v="0"/>
    <s v="food trucks"/>
  </r>
  <r>
    <n v="424"/>
    <s v="Schmidt-Gomez"/>
    <s v="User-centric impactful projection"/>
    <n v="5100"/>
    <n v="2064"/>
    <x v="0"/>
    <n v="83"/>
    <s v="US"/>
    <s v="USD"/>
    <n v="40.470588235294116"/>
    <n v="1524027600"/>
    <n v="24.867469879518072"/>
    <n v="1524546000"/>
    <x v="401"/>
    <d v="2018-04-24T05:00:00"/>
    <b v="0"/>
    <b v="0"/>
    <s v="music/indie rock"/>
    <x v="1"/>
    <s v="indie rock"/>
  </r>
  <r>
    <n v="425"/>
    <s v="Sullivan, Davis and Booth"/>
    <s v="Vision-oriented actuating hardware"/>
    <n v="2700"/>
    <n v="7767"/>
    <x v="1"/>
    <n v="92"/>
    <s v="US"/>
    <s v="USD"/>
    <n v="287.66666666666663"/>
    <n v="1438059600"/>
    <n v="84.423913043478265"/>
    <n v="1438578000"/>
    <x v="402"/>
    <d v="2015-08-03T05:00:00"/>
    <b v="0"/>
    <b v="0"/>
    <s v="photography/photography books"/>
    <x v="7"/>
    <s v="photography books"/>
  </r>
  <r>
    <n v="426"/>
    <s v="Edwards-Kane"/>
    <s v="Virtual leadingedge framework"/>
    <n v="1800"/>
    <n v="10313"/>
    <x v="1"/>
    <n v="219"/>
    <s v="US"/>
    <s v="USD"/>
    <n v="572.94444444444446"/>
    <n v="1361944800"/>
    <n v="47.091324200913242"/>
    <n v="1362549600"/>
    <x v="403"/>
    <d v="2013-03-06T06:00:00"/>
    <b v="0"/>
    <b v="0"/>
    <s v="theater/plays"/>
    <x v="3"/>
    <s v="plays"/>
  </r>
  <r>
    <n v="427"/>
    <s v="Hicks, Wall and Webb"/>
    <s v="Managed discrete framework"/>
    <n v="174500"/>
    <n v="197018"/>
    <x v="1"/>
    <n v="2526"/>
    <s v="US"/>
    <s v="USD"/>
    <n v="112.90429799426933"/>
    <n v="1410584400"/>
    <n v="77.996041171813147"/>
    <n v="1413349200"/>
    <x v="404"/>
    <d v="2014-10-15T05:00:00"/>
    <b v="0"/>
    <b v="1"/>
    <s v="theater/plays"/>
    <x v="3"/>
    <s v="plays"/>
  </r>
  <r>
    <n v="428"/>
    <s v="Mayer-Richmond"/>
    <s v="Progressive zero-defect capability"/>
    <n v="101400"/>
    <n v="47037"/>
    <x v="0"/>
    <n v="747"/>
    <s v="US"/>
    <s v="USD"/>
    <n v="46.387573964497044"/>
    <n v="1297404000"/>
    <n v="62.967871485943775"/>
    <n v="1298008800"/>
    <x v="405"/>
    <d v="2011-02-18T06:00:00"/>
    <b v="0"/>
    <b v="0"/>
    <s v="film &amp; video/animation"/>
    <x v="4"/>
    <s v="animation"/>
  </r>
  <r>
    <n v="429"/>
    <s v="Robles Ltd"/>
    <s v="Right-sized demand-driven adapter"/>
    <n v="191000"/>
    <n v="173191"/>
    <x v="3"/>
    <n v="2138"/>
    <s v="US"/>
    <s v="USD"/>
    <n v="90.675916230366497"/>
    <n v="1392012000"/>
    <n v="81.006080449017773"/>
    <n v="1394427600"/>
    <x v="406"/>
    <d v="2014-03-10T05:00:00"/>
    <b v="0"/>
    <b v="1"/>
    <s v="photography/photography books"/>
    <x v="7"/>
    <s v="photography books"/>
  </r>
  <r>
    <n v="430"/>
    <s v="Cochran Ltd"/>
    <s v="Re-engineered attitude-oriented frame"/>
    <n v="8100"/>
    <n v="5487"/>
    <x v="0"/>
    <n v="84"/>
    <s v="US"/>
    <s v="USD"/>
    <n v="67.740740740740748"/>
    <n v="1569733200"/>
    <n v="65.321428571428569"/>
    <n v="1572670800"/>
    <x v="407"/>
    <d v="2019-11-02T05:00:00"/>
    <b v="0"/>
    <b v="0"/>
    <s v="theater/plays"/>
    <x v="3"/>
    <s v="plays"/>
  </r>
  <r>
    <n v="431"/>
    <s v="Rosales LLC"/>
    <s v="Compatible multimedia utilization"/>
    <n v="5100"/>
    <n v="9817"/>
    <x v="1"/>
    <n v="94"/>
    <s v="US"/>
    <s v="USD"/>
    <n v="192.49019607843135"/>
    <n v="1529643600"/>
    <n v="104.43617021276596"/>
    <n v="1531112400"/>
    <x v="408"/>
    <d v="2018-07-09T05:00:00"/>
    <b v="1"/>
    <b v="0"/>
    <s v="theater/plays"/>
    <x v="3"/>
    <s v="plays"/>
  </r>
  <r>
    <n v="432"/>
    <s v="Harper-Bryan"/>
    <s v="Re-contextualized dedicated hardware"/>
    <n v="7700"/>
    <n v="6369"/>
    <x v="0"/>
    <n v="91"/>
    <s v="US"/>
    <s v="USD"/>
    <n v="82.714285714285722"/>
    <n v="1399006800"/>
    <n v="69.989010989010993"/>
    <n v="1400734800"/>
    <x v="409"/>
    <d v="2014-05-22T05:00:00"/>
    <b v="0"/>
    <b v="0"/>
    <s v="theater/plays"/>
    <x v="3"/>
    <s v="plays"/>
  </r>
  <r>
    <n v="433"/>
    <s v="Potter, Harper and Everett"/>
    <s v="Decentralized composite paradigm"/>
    <n v="121400"/>
    <n v="65755"/>
    <x v="0"/>
    <n v="792"/>
    <s v="US"/>
    <s v="USD"/>
    <n v="54.163920922570021"/>
    <n v="1385359200"/>
    <n v="83.023989898989896"/>
    <n v="1386741600"/>
    <x v="410"/>
    <d v="2013-12-11T06:00:00"/>
    <b v="0"/>
    <b v="1"/>
    <s v="film &amp; video/documentary"/>
    <x v="4"/>
    <s v="documentary"/>
  </r>
  <r>
    <n v="434"/>
    <s v="Floyd-Sims"/>
    <s v="Cloned transitional hierarchy"/>
    <n v="5400"/>
    <n v="903"/>
    <x v="3"/>
    <n v="10"/>
    <s v="CA"/>
    <s v="CAD"/>
    <n v="16.722222222222221"/>
    <n v="1480572000"/>
    <n v="90.3"/>
    <n v="1481781600"/>
    <x v="411"/>
    <d v="2016-12-15T06:00:00"/>
    <b v="1"/>
    <b v="0"/>
    <s v="theater/plays"/>
    <x v="3"/>
    <s v="plays"/>
  </r>
  <r>
    <n v="435"/>
    <s v="Spence, Jackson and Kelly"/>
    <s v="Advanced discrete leverage"/>
    <n v="152400"/>
    <n v="178120"/>
    <x v="1"/>
    <n v="1713"/>
    <s v="IT"/>
    <s v="EUR"/>
    <n v="116.87664041994749"/>
    <n v="1418623200"/>
    <n v="103.98131932282546"/>
    <n v="1419660000"/>
    <x v="412"/>
    <d v="2014-12-27T06:00:00"/>
    <b v="0"/>
    <b v="1"/>
    <s v="theater/plays"/>
    <x v="3"/>
    <s v="plays"/>
  </r>
  <r>
    <n v="436"/>
    <s v="King-Nguyen"/>
    <s v="Open-source incremental throughput"/>
    <n v="1300"/>
    <n v="13678"/>
    <x v="1"/>
    <n v="249"/>
    <s v="US"/>
    <s v="USD"/>
    <n v="1052.1538461538462"/>
    <n v="1555736400"/>
    <n v="54.931726907630519"/>
    <n v="1555822800"/>
    <x v="413"/>
    <d v="2019-04-21T05:00:00"/>
    <b v="0"/>
    <b v="0"/>
    <s v="music/jazz"/>
    <x v="1"/>
    <s v="jazz"/>
  </r>
  <r>
    <n v="437"/>
    <s v="Hansen Group"/>
    <s v="Centralized regional interface"/>
    <n v="8100"/>
    <n v="9969"/>
    <x v="1"/>
    <n v="192"/>
    <s v="US"/>
    <s v="USD"/>
    <n v="123.07407407407408"/>
    <n v="1442120400"/>
    <n v="51.921875"/>
    <n v="1442379600"/>
    <x v="414"/>
    <d v="2015-09-16T05:00:00"/>
    <b v="0"/>
    <b v="1"/>
    <s v="film &amp; video/animation"/>
    <x v="4"/>
    <s v="animation"/>
  </r>
  <r>
    <n v="438"/>
    <s v="Mathis, Hall and Hansen"/>
    <s v="Streamlined web-enabled knowledgebase"/>
    <n v="8300"/>
    <n v="14827"/>
    <x v="1"/>
    <n v="247"/>
    <s v="US"/>
    <s v="USD"/>
    <n v="178.63855421686748"/>
    <n v="1362376800"/>
    <n v="60.02834008097166"/>
    <n v="1364965200"/>
    <x v="415"/>
    <d v="2013-04-03T05:00:00"/>
    <b v="0"/>
    <b v="0"/>
    <s v="theater/plays"/>
    <x v="3"/>
    <s v="plays"/>
  </r>
  <r>
    <n v="439"/>
    <s v="Cummings Inc"/>
    <s v="Digitized transitional monitoring"/>
    <n v="28400"/>
    <n v="100900"/>
    <x v="1"/>
    <n v="2293"/>
    <s v="US"/>
    <s v="USD"/>
    <n v="355.28169014084506"/>
    <n v="1478408400"/>
    <n v="44.003488879197555"/>
    <n v="1479016800"/>
    <x v="416"/>
    <d v="2016-11-13T06:00:00"/>
    <b v="0"/>
    <b v="0"/>
    <s v="film &amp; video/science fiction"/>
    <x v="4"/>
    <s v="science fiction"/>
  </r>
  <r>
    <n v="440"/>
    <s v="Miller-Poole"/>
    <s v="Networked optimal adapter"/>
    <n v="102500"/>
    <n v="165954"/>
    <x v="1"/>
    <n v="3131"/>
    <s v="US"/>
    <s v="USD"/>
    <n v="161.90634146341463"/>
    <n v="1498798800"/>
    <n v="53.003513254551258"/>
    <n v="1499662800"/>
    <x v="417"/>
    <d v="2017-07-10T05:00:00"/>
    <b v="0"/>
    <b v="0"/>
    <s v="film &amp; video/television"/>
    <x v="4"/>
    <s v="television"/>
  </r>
  <r>
    <n v="441"/>
    <s v="Rodriguez-West"/>
    <s v="Automated optimal function"/>
    <n v="7000"/>
    <n v="1744"/>
    <x v="0"/>
    <n v="32"/>
    <s v="US"/>
    <s v="USD"/>
    <n v="24.914285714285715"/>
    <n v="1335416400"/>
    <n v="54.5"/>
    <n v="1337835600"/>
    <x v="418"/>
    <d v="2012-05-24T05:00:00"/>
    <b v="0"/>
    <b v="0"/>
    <s v="technology/wearables"/>
    <x v="2"/>
    <s v="wearables"/>
  </r>
  <r>
    <n v="442"/>
    <s v="Calderon, Bradford and Dean"/>
    <s v="Devolved system-worthy framework"/>
    <n v="5400"/>
    <n v="10731"/>
    <x v="1"/>
    <n v="143"/>
    <s v="IT"/>
    <s v="EUR"/>
    <n v="198.72222222222223"/>
    <n v="1504328400"/>
    <n v="75.04195804195804"/>
    <n v="1505710800"/>
    <x v="419"/>
    <d v="2017-09-18T05:00:00"/>
    <b v="0"/>
    <b v="0"/>
    <s v="theater/plays"/>
    <x v="3"/>
    <s v="plays"/>
  </r>
  <r>
    <n v="443"/>
    <s v="Clark-Bowman"/>
    <s v="Stand-alone user-facing service-desk"/>
    <n v="9300"/>
    <n v="3232"/>
    <x v="3"/>
    <n v="90"/>
    <s v="US"/>
    <s v="USD"/>
    <n v="34.752688172043008"/>
    <n v="1285822800"/>
    <n v="35.911111111111111"/>
    <n v="1287464400"/>
    <x v="420"/>
    <d v="2010-10-19T05:00:00"/>
    <b v="0"/>
    <b v="0"/>
    <s v="theater/plays"/>
    <x v="3"/>
    <s v="plays"/>
  </r>
  <r>
    <n v="444"/>
    <s v="Hensley Ltd"/>
    <s v="Versatile global attitude"/>
    <n v="6200"/>
    <n v="10938"/>
    <x v="1"/>
    <n v="296"/>
    <s v="US"/>
    <s v="USD"/>
    <n v="176.41935483870967"/>
    <n v="1311483600"/>
    <n v="36.952702702702702"/>
    <n v="1311656400"/>
    <x v="421"/>
    <d v="2011-07-26T05:00:00"/>
    <b v="0"/>
    <b v="1"/>
    <s v="music/indie rock"/>
    <x v="1"/>
    <s v="indie rock"/>
  </r>
  <r>
    <n v="445"/>
    <s v="Anderson-Pearson"/>
    <s v="Intuitive demand-driven Local Area Network"/>
    <n v="2100"/>
    <n v="10739"/>
    <x v="1"/>
    <n v="170"/>
    <s v="US"/>
    <s v="USD"/>
    <n v="511.38095238095235"/>
    <n v="1291356000"/>
    <n v="63.170588235294119"/>
    <n v="1293170400"/>
    <x v="422"/>
    <d v="2010-12-24T06:00:00"/>
    <b v="0"/>
    <b v="1"/>
    <s v="theater/plays"/>
    <x v="3"/>
    <s v="plays"/>
  </r>
  <r>
    <n v="446"/>
    <s v="Martin, Martin and Solis"/>
    <s v="Assimilated uniform methodology"/>
    <n v="6800"/>
    <n v="5579"/>
    <x v="0"/>
    <n v="186"/>
    <s v="US"/>
    <s v="USD"/>
    <n v="82.044117647058826"/>
    <n v="1355810400"/>
    <n v="29.99462365591398"/>
    <n v="1355983200"/>
    <x v="423"/>
    <d v="2012-12-20T06:00:00"/>
    <b v="0"/>
    <b v="0"/>
    <s v="technology/wearables"/>
    <x v="2"/>
    <s v="wearables"/>
  </r>
  <r>
    <n v="447"/>
    <s v="Harrington-Harper"/>
    <s v="Self-enabling next generation algorithm"/>
    <n v="155200"/>
    <n v="37754"/>
    <x v="3"/>
    <n v="439"/>
    <s v="GB"/>
    <s v="GBP"/>
    <n v="24.326030927835053"/>
    <n v="1513663200"/>
    <n v="86"/>
    <n v="1515045600"/>
    <x v="424"/>
    <d v="2018-01-04T06:00:00"/>
    <b v="0"/>
    <b v="0"/>
    <s v="film &amp; video/television"/>
    <x v="4"/>
    <s v="television"/>
  </r>
  <r>
    <n v="448"/>
    <s v="Price and Sons"/>
    <s v="Object-based demand-driven strategy"/>
    <n v="89900"/>
    <n v="45384"/>
    <x v="0"/>
    <n v="605"/>
    <s v="US"/>
    <s v="USD"/>
    <n v="50.482758620689658"/>
    <n v="1365915600"/>
    <n v="75.014876033057845"/>
    <n v="1366088400"/>
    <x v="425"/>
    <d v="2013-04-16T05:00:00"/>
    <b v="0"/>
    <b v="1"/>
    <s v="games/video games"/>
    <x v="6"/>
    <s v="video games"/>
  </r>
  <r>
    <n v="449"/>
    <s v="Cuevas-Morales"/>
    <s v="Public-key coherent ability"/>
    <n v="900"/>
    <n v="8703"/>
    <x v="1"/>
    <n v="86"/>
    <s v="DK"/>
    <s v="DKK"/>
    <n v="967"/>
    <n v="1551852000"/>
    <n v="101.19767441860465"/>
    <n v="1553317200"/>
    <x v="426"/>
    <d v="2019-03-23T05:00:00"/>
    <b v="0"/>
    <b v="0"/>
    <s v="games/video games"/>
    <x v="6"/>
    <s v="video games"/>
  </r>
  <r>
    <n v="450"/>
    <s v="Delgado-Hatfield"/>
    <s v="Up-sized composite success"/>
    <n v="100"/>
    <n v="4"/>
    <x v="0"/>
    <n v="1"/>
    <s v="CA"/>
    <s v="CAD"/>
    <n v="4"/>
    <n v="1540098000"/>
    <n v="4"/>
    <n v="1542088800"/>
    <x v="427"/>
    <d v="2018-11-13T06:00:00"/>
    <b v="0"/>
    <b v="0"/>
    <s v="film &amp; video/animation"/>
    <x v="4"/>
    <s v="animation"/>
  </r>
  <r>
    <n v="451"/>
    <s v="Padilla-Porter"/>
    <s v="Innovative exuding matrix"/>
    <n v="148400"/>
    <n v="182302"/>
    <x v="1"/>
    <n v="6286"/>
    <s v="US"/>
    <s v="USD"/>
    <n v="122.84501347708894"/>
    <n v="1500440400"/>
    <n v="29.001272669424118"/>
    <n v="1503118800"/>
    <x v="428"/>
    <d v="2017-08-19T05:00:00"/>
    <b v="0"/>
    <b v="0"/>
    <s v="music/rock"/>
    <x v="1"/>
    <s v="rock"/>
  </r>
  <r>
    <n v="452"/>
    <s v="Morris Group"/>
    <s v="Realigned impactful artificial intelligence"/>
    <n v="4800"/>
    <n v="3045"/>
    <x v="0"/>
    <n v="31"/>
    <s v="US"/>
    <s v="USD"/>
    <n v="63.4375"/>
    <n v="1278392400"/>
    <n v="98.225806451612897"/>
    <n v="1278478800"/>
    <x v="429"/>
    <d v="2010-07-07T05:00:00"/>
    <b v="0"/>
    <b v="0"/>
    <s v="film &amp; video/drama"/>
    <x v="4"/>
    <s v="drama"/>
  </r>
  <r>
    <n v="453"/>
    <s v="Saunders Ltd"/>
    <s v="Multi-layered multi-tasking secured line"/>
    <n v="182400"/>
    <n v="102749"/>
    <x v="0"/>
    <n v="1181"/>
    <s v="US"/>
    <s v="USD"/>
    <n v="56.331688596491226"/>
    <n v="1480572000"/>
    <n v="87.001693480101608"/>
    <n v="1484114400"/>
    <x v="411"/>
    <d v="2017-01-11T06:00:00"/>
    <b v="0"/>
    <b v="0"/>
    <s v="film &amp; video/science fiction"/>
    <x v="4"/>
    <s v="science fiction"/>
  </r>
  <r>
    <n v="454"/>
    <s v="Woods Inc"/>
    <s v="Upgradable upward-trending portal"/>
    <n v="4000"/>
    <n v="1763"/>
    <x v="0"/>
    <n v="39"/>
    <s v="US"/>
    <s v="USD"/>
    <n v="44.074999999999996"/>
    <n v="1382331600"/>
    <n v="45.205128205128204"/>
    <n v="1385445600"/>
    <x v="430"/>
    <d v="2013-11-26T06:00:00"/>
    <b v="0"/>
    <b v="1"/>
    <s v="film &amp; video/drama"/>
    <x v="4"/>
    <s v="drama"/>
  </r>
  <r>
    <n v="455"/>
    <s v="Villanueva, Wright and Richardson"/>
    <s v="Profit-focused global product"/>
    <n v="116500"/>
    <n v="137904"/>
    <x v="1"/>
    <n v="3727"/>
    <s v="US"/>
    <s v="USD"/>
    <n v="118.37253218884121"/>
    <n v="1316754000"/>
    <n v="37.001341561577675"/>
    <n v="1318741200"/>
    <x v="431"/>
    <d v="2011-10-16T05:00:00"/>
    <b v="0"/>
    <b v="0"/>
    <s v="theater/plays"/>
    <x v="3"/>
    <s v="plays"/>
  </r>
  <r>
    <n v="456"/>
    <s v="Wilson, Brooks and Clark"/>
    <s v="Operative well-modulated data-warehouse"/>
    <n v="146400"/>
    <n v="152438"/>
    <x v="1"/>
    <n v="1605"/>
    <s v="US"/>
    <s v="USD"/>
    <n v="104.1243169398907"/>
    <n v="1518242400"/>
    <n v="94.976947040498445"/>
    <n v="1518242400"/>
    <x v="432"/>
    <d v="2018-02-10T06:00:00"/>
    <b v="0"/>
    <b v="1"/>
    <s v="music/indie rock"/>
    <x v="1"/>
    <s v="indie rock"/>
  </r>
  <r>
    <n v="457"/>
    <s v="Sheppard, Smith and Spence"/>
    <s v="Cloned asymmetric functionalities"/>
    <n v="5000"/>
    <n v="1332"/>
    <x v="0"/>
    <n v="46"/>
    <s v="US"/>
    <s v="USD"/>
    <n v="26.640000000000004"/>
    <n v="1476421200"/>
    <n v="28.956521739130434"/>
    <n v="1476594000"/>
    <x v="433"/>
    <d v="2016-10-16T05:00:00"/>
    <b v="0"/>
    <b v="0"/>
    <s v="theater/plays"/>
    <x v="3"/>
    <s v="plays"/>
  </r>
  <r>
    <n v="458"/>
    <s v="Wise, Thompson and Allen"/>
    <s v="Pre-emptive neutral portal"/>
    <n v="33800"/>
    <n v="118706"/>
    <x v="1"/>
    <n v="2120"/>
    <s v="US"/>
    <s v="USD"/>
    <n v="351.20118343195264"/>
    <n v="1269752400"/>
    <n v="55.993396226415094"/>
    <n v="1273554000"/>
    <x v="434"/>
    <d v="2010-05-11T05:00:00"/>
    <b v="0"/>
    <b v="0"/>
    <s v="theater/plays"/>
    <x v="3"/>
    <s v="plays"/>
  </r>
  <r>
    <n v="459"/>
    <s v="Lane, Ryan and Chapman"/>
    <s v="Switchable demand-driven help-desk"/>
    <n v="6300"/>
    <n v="5674"/>
    <x v="0"/>
    <n v="105"/>
    <s v="US"/>
    <s v="USD"/>
    <n v="90.063492063492063"/>
    <n v="1419746400"/>
    <n v="54.038095238095238"/>
    <n v="1421906400"/>
    <x v="435"/>
    <d v="2015-01-22T06:00:00"/>
    <b v="0"/>
    <b v="0"/>
    <s v="film &amp; video/documentary"/>
    <x v="4"/>
    <s v="documentary"/>
  </r>
  <r>
    <n v="460"/>
    <s v="Rich, Alvarez and King"/>
    <s v="Business-focused static ability"/>
    <n v="2400"/>
    <n v="4119"/>
    <x v="1"/>
    <n v="50"/>
    <s v="US"/>
    <s v="USD"/>
    <n v="171.625"/>
    <n v="1281330000"/>
    <n v="82.38"/>
    <n v="1281589200"/>
    <x v="8"/>
    <d v="2010-08-12T05:00:00"/>
    <b v="0"/>
    <b v="0"/>
    <s v="theater/plays"/>
    <x v="3"/>
    <s v="plays"/>
  </r>
  <r>
    <n v="461"/>
    <s v="Terry-Salinas"/>
    <s v="Networked secondary structure"/>
    <n v="98800"/>
    <n v="139354"/>
    <x v="1"/>
    <n v="2080"/>
    <s v="US"/>
    <s v="USD"/>
    <n v="141.04655870445345"/>
    <n v="1398661200"/>
    <n v="66.997115384615384"/>
    <n v="1400389200"/>
    <x v="436"/>
    <d v="2014-05-18T05:00:00"/>
    <b v="0"/>
    <b v="0"/>
    <s v="film &amp; video/drama"/>
    <x v="4"/>
    <s v="drama"/>
  </r>
  <r>
    <n v="462"/>
    <s v="Wang-Rodriguez"/>
    <s v="Total multimedia website"/>
    <n v="188800"/>
    <n v="57734"/>
    <x v="0"/>
    <n v="535"/>
    <s v="US"/>
    <s v="USD"/>
    <n v="30.57944915254237"/>
    <n v="1359525600"/>
    <n v="107.91401869158878"/>
    <n v="1362808800"/>
    <x v="385"/>
    <d v="2013-03-09T06:00:00"/>
    <b v="0"/>
    <b v="0"/>
    <s v="games/mobile games"/>
    <x v="6"/>
    <s v="mobile games"/>
  </r>
  <r>
    <n v="463"/>
    <s v="Mckee-Hill"/>
    <s v="Cross-platform upward-trending parallelism"/>
    <n v="134300"/>
    <n v="145265"/>
    <x v="1"/>
    <n v="2105"/>
    <s v="US"/>
    <s v="USD"/>
    <n v="108.16455696202532"/>
    <n v="1388469600"/>
    <n v="69.009501187648453"/>
    <n v="1388815200"/>
    <x v="437"/>
    <d v="2014-01-04T06:00:00"/>
    <b v="0"/>
    <b v="0"/>
    <s v="film &amp; video/animation"/>
    <x v="4"/>
    <s v="animation"/>
  </r>
  <r>
    <n v="464"/>
    <s v="Gomez LLC"/>
    <s v="Pre-emptive mission-critical hardware"/>
    <n v="71200"/>
    <n v="95020"/>
    <x v="1"/>
    <n v="2436"/>
    <s v="US"/>
    <s v="USD"/>
    <n v="133.45505617977528"/>
    <n v="1518328800"/>
    <n v="39.006568144499177"/>
    <n v="1519538400"/>
    <x v="438"/>
    <d v="2018-02-25T06:00:00"/>
    <b v="0"/>
    <b v="0"/>
    <s v="theater/plays"/>
    <x v="3"/>
    <s v="plays"/>
  </r>
  <r>
    <n v="465"/>
    <s v="Gonzalez-Robbins"/>
    <s v="Up-sized responsive protocol"/>
    <n v="4700"/>
    <n v="8829"/>
    <x v="1"/>
    <n v="80"/>
    <s v="US"/>
    <s v="USD"/>
    <n v="187.85106382978722"/>
    <n v="1517032800"/>
    <n v="110.3625"/>
    <n v="1517810400"/>
    <x v="439"/>
    <d v="2018-02-05T06:00:00"/>
    <b v="0"/>
    <b v="0"/>
    <s v="publishing/translations"/>
    <x v="5"/>
    <s v="translations"/>
  </r>
  <r>
    <n v="466"/>
    <s v="Obrien and Sons"/>
    <s v="Pre-emptive transitional frame"/>
    <n v="1200"/>
    <n v="3984"/>
    <x v="1"/>
    <n v="42"/>
    <s v="US"/>
    <s v="USD"/>
    <n v="332"/>
    <n v="1368594000"/>
    <n v="94.857142857142861"/>
    <n v="1370581200"/>
    <x v="440"/>
    <d v="2013-06-07T05:00:00"/>
    <b v="0"/>
    <b v="1"/>
    <s v="technology/wearables"/>
    <x v="2"/>
    <s v="wearables"/>
  </r>
  <r>
    <n v="467"/>
    <s v="Shaw Ltd"/>
    <s v="Profit-focused content-based application"/>
    <n v="1400"/>
    <n v="8053"/>
    <x v="1"/>
    <n v="139"/>
    <s v="CA"/>
    <s v="CAD"/>
    <n v="575.21428571428578"/>
    <n v="1448258400"/>
    <n v="57.935251798561154"/>
    <n v="1448863200"/>
    <x v="441"/>
    <d v="2015-11-30T06:00:00"/>
    <b v="0"/>
    <b v="1"/>
    <s v="technology/web"/>
    <x v="2"/>
    <s v="web"/>
  </r>
  <r>
    <n v="468"/>
    <s v="Hughes Inc"/>
    <s v="Streamlined neutral analyzer"/>
    <n v="4000"/>
    <n v="1620"/>
    <x v="0"/>
    <n v="16"/>
    <s v="US"/>
    <s v="USD"/>
    <n v="40.5"/>
    <n v="1555218000"/>
    <n v="101.25"/>
    <n v="1556600400"/>
    <x v="442"/>
    <d v="2019-04-30T05:00:00"/>
    <b v="0"/>
    <b v="0"/>
    <s v="theater/plays"/>
    <x v="3"/>
    <s v="plays"/>
  </r>
  <r>
    <n v="469"/>
    <s v="Olsen-Ryan"/>
    <s v="Assimilated neutral utilization"/>
    <n v="5600"/>
    <n v="10328"/>
    <x v="1"/>
    <n v="159"/>
    <s v="US"/>
    <s v="USD"/>
    <n v="184.42857142857144"/>
    <n v="1431925200"/>
    <n v="64.95597484276729"/>
    <n v="1432098000"/>
    <x v="443"/>
    <d v="2015-05-20T05:00:00"/>
    <b v="0"/>
    <b v="0"/>
    <s v="film &amp; video/drama"/>
    <x v="4"/>
    <s v="drama"/>
  </r>
  <r>
    <n v="470"/>
    <s v="Grimes, Holland and Sloan"/>
    <s v="Extended dedicated archive"/>
    <n v="3600"/>
    <n v="10289"/>
    <x v="1"/>
    <n v="381"/>
    <s v="US"/>
    <s v="USD"/>
    <n v="285.80555555555554"/>
    <n v="1481522400"/>
    <n v="27.00524934383202"/>
    <n v="1482127200"/>
    <x v="315"/>
    <d v="2016-12-19T06:00:00"/>
    <b v="0"/>
    <b v="0"/>
    <s v="technology/wearables"/>
    <x v="2"/>
    <s v="wearables"/>
  </r>
  <r>
    <n v="471"/>
    <s v="Perry and Sons"/>
    <s v="Configurable static help-desk"/>
    <n v="3100"/>
    <n v="9889"/>
    <x v="1"/>
    <n v="194"/>
    <s v="GB"/>
    <s v="GBP"/>
    <n v="319"/>
    <n v="1335934800"/>
    <n v="50.97422680412371"/>
    <n v="1335934800"/>
    <x v="444"/>
    <d v="2012-05-02T05:00:00"/>
    <b v="0"/>
    <b v="1"/>
    <s v="food/food trucks"/>
    <x v="0"/>
    <s v="food trucks"/>
  </r>
  <r>
    <n v="472"/>
    <s v="Turner, Young and Collins"/>
    <s v="Self-enabling clear-thinking framework"/>
    <n v="153800"/>
    <n v="60342"/>
    <x v="0"/>
    <n v="575"/>
    <s v="US"/>
    <s v="USD"/>
    <n v="39.234070221066318"/>
    <n v="1552280400"/>
    <n v="104.94260869565217"/>
    <n v="1556946000"/>
    <x v="445"/>
    <d v="2019-05-04T05:00:00"/>
    <b v="0"/>
    <b v="0"/>
    <s v="music/rock"/>
    <x v="1"/>
    <s v="rock"/>
  </r>
  <r>
    <n v="473"/>
    <s v="Richardson Inc"/>
    <s v="Assimilated fault-tolerant capacity"/>
    <n v="5000"/>
    <n v="8907"/>
    <x v="1"/>
    <n v="106"/>
    <s v="US"/>
    <s v="USD"/>
    <n v="178.14000000000001"/>
    <n v="1529989200"/>
    <n v="84.028301886792448"/>
    <n v="1530075600"/>
    <x v="446"/>
    <d v="2018-06-27T05:00:00"/>
    <b v="0"/>
    <b v="0"/>
    <s v="music/electric music"/>
    <x v="1"/>
    <s v="electric music"/>
  </r>
  <r>
    <n v="474"/>
    <s v="Santos-Young"/>
    <s v="Enhanced neutral ability"/>
    <n v="4000"/>
    <n v="14606"/>
    <x v="1"/>
    <n v="142"/>
    <s v="US"/>
    <s v="USD"/>
    <n v="365.15"/>
    <n v="1418709600"/>
    <n v="102.85915492957747"/>
    <n v="1418796000"/>
    <x v="447"/>
    <d v="2014-12-17T06:00:00"/>
    <b v="0"/>
    <b v="0"/>
    <s v="film &amp; video/television"/>
    <x v="4"/>
    <s v="television"/>
  </r>
  <r>
    <n v="475"/>
    <s v="Nichols Ltd"/>
    <s v="Function-based attitude-oriented groupware"/>
    <n v="7400"/>
    <n v="8432"/>
    <x v="1"/>
    <n v="211"/>
    <s v="US"/>
    <s v="USD"/>
    <n v="113.94594594594594"/>
    <n v="1372136400"/>
    <n v="39.962085308056871"/>
    <n v="1372482000"/>
    <x v="448"/>
    <d v="2013-06-29T05:00:00"/>
    <b v="0"/>
    <b v="1"/>
    <s v="publishing/translations"/>
    <x v="5"/>
    <s v="translations"/>
  </r>
  <r>
    <n v="476"/>
    <s v="Murphy PLC"/>
    <s v="Optional solution-oriented instruction set"/>
    <n v="191500"/>
    <n v="57122"/>
    <x v="0"/>
    <n v="1120"/>
    <s v="US"/>
    <s v="USD"/>
    <n v="29.828720626631856"/>
    <n v="1533877200"/>
    <n v="51.001785714285717"/>
    <n v="1534395600"/>
    <x v="342"/>
    <d v="2018-08-16T05:00:00"/>
    <b v="0"/>
    <b v="0"/>
    <s v="publishing/fiction"/>
    <x v="5"/>
    <s v="fiction"/>
  </r>
  <r>
    <n v="477"/>
    <s v="Hogan, Porter and Rivera"/>
    <s v="Organic object-oriented core"/>
    <n v="8500"/>
    <n v="4613"/>
    <x v="0"/>
    <n v="113"/>
    <s v="US"/>
    <s v="USD"/>
    <n v="54.270588235294113"/>
    <n v="1309064400"/>
    <n v="40.823008849557525"/>
    <n v="1311397200"/>
    <x v="449"/>
    <d v="2011-07-23T05:00:00"/>
    <b v="0"/>
    <b v="0"/>
    <s v="film &amp; video/science fiction"/>
    <x v="4"/>
    <s v="science fiction"/>
  </r>
  <r>
    <n v="478"/>
    <s v="Lyons LLC"/>
    <s v="Balanced impactful circuit"/>
    <n v="68800"/>
    <n v="162603"/>
    <x v="1"/>
    <n v="2756"/>
    <s v="US"/>
    <s v="USD"/>
    <n v="236.34156976744185"/>
    <n v="1425877200"/>
    <n v="58.999637155297535"/>
    <n v="1426914000"/>
    <x v="450"/>
    <d v="2015-03-21T05:00:00"/>
    <b v="0"/>
    <b v="0"/>
    <s v="technology/wearables"/>
    <x v="2"/>
    <s v="wearables"/>
  </r>
  <r>
    <n v="479"/>
    <s v="Long-Greene"/>
    <s v="Future-proofed heuristic encryption"/>
    <n v="2400"/>
    <n v="12310"/>
    <x v="1"/>
    <n v="173"/>
    <s v="GB"/>
    <s v="GBP"/>
    <n v="512.91666666666663"/>
    <n v="1501304400"/>
    <n v="71.156069364161851"/>
    <n v="1501477200"/>
    <x v="451"/>
    <d v="2017-07-31T05:00:00"/>
    <b v="0"/>
    <b v="0"/>
    <s v="food/food trucks"/>
    <x v="0"/>
    <s v="food trucks"/>
  </r>
  <r>
    <n v="480"/>
    <s v="Robles-Hudson"/>
    <s v="Balanced bifurcated leverage"/>
    <n v="8600"/>
    <n v="8656"/>
    <x v="1"/>
    <n v="87"/>
    <s v="US"/>
    <s v="USD"/>
    <n v="100.65116279069768"/>
    <n v="1268287200"/>
    <n v="99.494252873563212"/>
    <n v="1269061200"/>
    <x v="452"/>
    <d v="2010-03-20T05:00:00"/>
    <b v="0"/>
    <b v="1"/>
    <s v="photography/photography books"/>
    <x v="7"/>
    <s v="photography books"/>
  </r>
  <r>
    <n v="481"/>
    <s v="Mcclure LLC"/>
    <s v="Sharable discrete budgetary management"/>
    <n v="196600"/>
    <n v="159931"/>
    <x v="0"/>
    <n v="1538"/>
    <s v="US"/>
    <s v="USD"/>
    <n v="81.348423194303152"/>
    <n v="1412139600"/>
    <n v="103.98634590377114"/>
    <n v="1415772000"/>
    <x v="453"/>
    <d v="2014-11-12T06:00:00"/>
    <b v="0"/>
    <b v="1"/>
    <s v="theater/plays"/>
    <x v="3"/>
    <s v="plays"/>
  </r>
  <r>
    <n v="482"/>
    <s v="Martin, Russell and Baker"/>
    <s v="Focused solution-oriented instruction set"/>
    <n v="4200"/>
    <n v="689"/>
    <x v="0"/>
    <n v="9"/>
    <s v="US"/>
    <s v="USD"/>
    <n v="16.404761904761905"/>
    <n v="1330063200"/>
    <n v="76.555555555555557"/>
    <n v="1331013600"/>
    <x v="454"/>
    <d v="2012-03-06T06:00:00"/>
    <b v="0"/>
    <b v="1"/>
    <s v="publishing/fiction"/>
    <x v="5"/>
    <s v="fiction"/>
  </r>
  <r>
    <n v="483"/>
    <s v="Rice-Parker"/>
    <s v="Down-sized actuating infrastructure"/>
    <n v="91400"/>
    <n v="48236"/>
    <x v="0"/>
    <n v="554"/>
    <s v="US"/>
    <s v="USD"/>
    <n v="52.774617067833695"/>
    <n v="1576130400"/>
    <n v="87.068592057761734"/>
    <n v="1576735200"/>
    <x v="455"/>
    <d v="2019-12-19T06:00:00"/>
    <b v="0"/>
    <b v="0"/>
    <s v="theater/plays"/>
    <x v="3"/>
    <s v="plays"/>
  </r>
  <r>
    <n v="484"/>
    <s v="Landry Inc"/>
    <s v="Synergistic cohesive adapter"/>
    <n v="29600"/>
    <n v="77021"/>
    <x v="1"/>
    <n v="1572"/>
    <s v="GB"/>
    <s v="GBP"/>
    <n v="260.20608108108109"/>
    <n v="1407128400"/>
    <n v="48.99554707379135"/>
    <n v="1411362000"/>
    <x v="456"/>
    <d v="2014-09-22T05:00:00"/>
    <b v="0"/>
    <b v="1"/>
    <s v="food/food trucks"/>
    <x v="0"/>
    <s v="food trucks"/>
  </r>
  <r>
    <n v="485"/>
    <s v="Richards-Davis"/>
    <s v="Quality-focused mission-critical structure"/>
    <n v="90600"/>
    <n v="27844"/>
    <x v="0"/>
    <n v="648"/>
    <s v="GB"/>
    <s v="GBP"/>
    <n v="30.73289183222958"/>
    <n v="1560142800"/>
    <n v="42.969135802469133"/>
    <n v="1563685200"/>
    <x v="457"/>
    <d v="2019-07-21T05:00:00"/>
    <b v="0"/>
    <b v="0"/>
    <s v="theater/plays"/>
    <x v="3"/>
    <s v="plays"/>
  </r>
  <r>
    <n v="486"/>
    <s v="Davis, Cox and Fox"/>
    <s v="Compatible exuding Graphical User Interface"/>
    <n v="5200"/>
    <n v="702"/>
    <x v="0"/>
    <n v="21"/>
    <s v="GB"/>
    <s v="GBP"/>
    <n v="13.5"/>
    <n v="1520575200"/>
    <n v="33.428571428571431"/>
    <n v="1521867600"/>
    <x v="458"/>
    <d v="2018-03-24T05:00:00"/>
    <b v="0"/>
    <b v="1"/>
    <s v="publishing/translations"/>
    <x v="5"/>
    <s v="translations"/>
  </r>
  <r>
    <n v="487"/>
    <s v="Smith-Wallace"/>
    <s v="Monitored 24/7 time-frame"/>
    <n v="110300"/>
    <n v="197024"/>
    <x v="1"/>
    <n v="2346"/>
    <s v="US"/>
    <s v="USD"/>
    <n v="178.62556663644605"/>
    <n v="1492664400"/>
    <n v="83.982949701619773"/>
    <n v="1495515600"/>
    <x v="459"/>
    <d v="2017-05-23T05:00:00"/>
    <b v="0"/>
    <b v="0"/>
    <s v="theater/plays"/>
    <x v="3"/>
    <s v="plays"/>
  </r>
  <r>
    <n v="488"/>
    <s v="Cordova, Shaw and Wang"/>
    <s v="Virtual secondary open architecture"/>
    <n v="5300"/>
    <n v="11663"/>
    <x v="1"/>
    <n v="115"/>
    <s v="US"/>
    <s v="USD"/>
    <n v="220.0566037735849"/>
    <n v="1454479200"/>
    <n v="101.41739130434783"/>
    <n v="1455948000"/>
    <x v="460"/>
    <d v="2016-02-20T06:00:00"/>
    <b v="0"/>
    <b v="0"/>
    <s v="theater/plays"/>
    <x v="3"/>
    <s v="plays"/>
  </r>
  <r>
    <n v="489"/>
    <s v="Clark Inc"/>
    <s v="Down-sized mobile time-frame"/>
    <n v="9200"/>
    <n v="9339"/>
    <x v="1"/>
    <n v="85"/>
    <s v="IT"/>
    <s v="EUR"/>
    <n v="101.5108695652174"/>
    <n v="1281934800"/>
    <n v="109.87058823529412"/>
    <n v="1282366800"/>
    <x v="461"/>
    <d v="2010-08-21T05:00:00"/>
    <b v="0"/>
    <b v="0"/>
    <s v="technology/wearables"/>
    <x v="2"/>
    <s v="wearables"/>
  </r>
  <r>
    <n v="490"/>
    <s v="Young and Sons"/>
    <s v="Innovative disintermediate encryption"/>
    <n v="2400"/>
    <n v="4596"/>
    <x v="1"/>
    <n v="144"/>
    <s v="US"/>
    <s v="USD"/>
    <n v="191.5"/>
    <n v="1573970400"/>
    <n v="31.916666666666668"/>
    <n v="1574575200"/>
    <x v="462"/>
    <d v="2019-11-24T06:00:00"/>
    <b v="0"/>
    <b v="0"/>
    <s v="journalism/audio"/>
    <x v="8"/>
    <s v="audio"/>
  </r>
  <r>
    <n v="491"/>
    <s v="Henson PLC"/>
    <s v="Universal contextually-based knowledgebase"/>
    <n v="56800"/>
    <n v="173437"/>
    <x v="1"/>
    <n v="2443"/>
    <s v="US"/>
    <s v="USD"/>
    <n v="305.34683098591546"/>
    <n v="1372654800"/>
    <n v="70.993450675399103"/>
    <n v="1374901200"/>
    <x v="463"/>
    <d v="2013-07-27T05:00:00"/>
    <b v="0"/>
    <b v="1"/>
    <s v="food/food trucks"/>
    <x v="0"/>
    <s v="food trucks"/>
  </r>
  <r>
    <n v="492"/>
    <s v="Garcia Group"/>
    <s v="Persevering interactive matrix"/>
    <n v="191000"/>
    <n v="45831"/>
    <x v="3"/>
    <n v="595"/>
    <s v="US"/>
    <s v="USD"/>
    <n v="23.995287958115181"/>
    <n v="1275886800"/>
    <n v="77.026890756302521"/>
    <n v="1278910800"/>
    <x v="464"/>
    <d v="2010-07-12T05:00:00"/>
    <b v="1"/>
    <b v="1"/>
    <s v="film &amp; video/shorts"/>
    <x v="4"/>
    <s v="shorts"/>
  </r>
  <r>
    <n v="493"/>
    <s v="Adams, Walker and Wong"/>
    <s v="Seamless background framework"/>
    <n v="900"/>
    <n v="6514"/>
    <x v="1"/>
    <n v="64"/>
    <s v="US"/>
    <s v="USD"/>
    <n v="723.77777777777771"/>
    <n v="1561784400"/>
    <n v="101.78125"/>
    <n v="1562907600"/>
    <x v="465"/>
    <d v="2019-07-12T05:00:00"/>
    <b v="0"/>
    <b v="0"/>
    <s v="photography/photography books"/>
    <x v="7"/>
    <s v="photography books"/>
  </r>
  <r>
    <n v="494"/>
    <s v="Hopkins-Browning"/>
    <s v="Balanced upward-trending productivity"/>
    <n v="2500"/>
    <n v="13684"/>
    <x v="1"/>
    <n v="268"/>
    <s v="US"/>
    <s v="USD"/>
    <n v="547.36"/>
    <n v="1332392400"/>
    <n v="51.059701492537314"/>
    <n v="1332478800"/>
    <x v="466"/>
    <d v="2012-03-23T05:00:00"/>
    <b v="0"/>
    <b v="0"/>
    <s v="technology/wearables"/>
    <x v="2"/>
    <s v="wearables"/>
  </r>
  <r>
    <n v="495"/>
    <s v="Bell, Edwards and Andersen"/>
    <s v="Centralized clear-thinking solution"/>
    <n v="3200"/>
    <n v="13264"/>
    <x v="1"/>
    <n v="195"/>
    <s v="DK"/>
    <s v="DKK"/>
    <n v="414.49999999999994"/>
    <n v="1402376400"/>
    <n v="68.02051282051282"/>
    <n v="1402722000"/>
    <x v="467"/>
    <d v="2014-06-14T05:00:00"/>
    <b v="0"/>
    <b v="0"/>
    <s v="theater/plays"/>
    <x v="3"/>
    <s v="plays"/>
  </r>
  <r>
    <n v="496"/>
    <s v="Morales Group"/>
    <s v="Optimized bi-directional extranet"/>
    <n v="183800"/>
    <n v="1667"/>
    <x v="0"/>
    <n v="54"/>
    <s v="US"/>
    <s v="USD"/>
    <n v="0.90696409140369971"/>
    <n v="1495342800"/>
    <n v="30.87037037037037"/>
    <n v="1496811600"/>
    <x v="468"/>
    <d v="2017-06-07T05:00:00"/>
    <b v="0"/>
    <b v="0"/>
    <s v="film &amp; video/animation"/>
    <x v="4"/>
    <s v="animation"/>
  </r>
  <r>
    <n v="497"/>
    <s v="Lucero Group"/>
    <s v="Intuitive actuating benchmark"/>
    <n v="9800"/>
    <n v="3349"/>
    <x v="0"/>
    <n v="120"/>
    <s v="US"/>
    <s v="USD"/>
    <n v="34.173469387755098"/>
    <n v="1482213600"/>
    <n v="27.908333333333335"/>
    <n v="1482213600"/>
    <x v="469"/>
    <d v="2016-12-20T06:00:00"/>
    <b v="0"/>
    <b v="1"/>
    <s v="technology/wearables"/>
    <x v="2"/>
    <s v="wearables"/>
  </r>
  <r>
    <n v="498"/>
    <s v="Smith, Brown and Davis"/>
    <s v="Devolved background project"/>
    <n v="193400"/>
    <n v="46317"/>
    <x v="0"/>
    <n v="579"/>
    <s v="DK"/>
    <s v="DKK"/>
    <n v="23.948810754912099"/>
    <n v="1420092000"/>
    <n v="79.994818652849744"/>
    <n v="1420264800"/>
    <x v="470"/>
    <d v="2015-01-03T06:00:00"/>
    <b v="0"/>
    <b v="0"/>
    <s v="technology/web"/>
    <x v="2"/>
    <s v="web"/>
  </r>
  <r>
    <n v="499"/>
    <s v="Hunt Group"/>
    <s v="Reverse-engineered executive emulation"/>
    <n v="163800"/>
    <n v="78743"/>
    <x v="0"/>
    <n v="2072"/>
    <s v="US"/>
    <s v="USD"/>
    <n v="48.072649572649574"/>
    <n v="1458018000"/>
    <n v="38.003378378378379"/>
    <n v="1458450000"/>
    <x v="471"/>
    <d v="2016-03-20T05:00:00"/>
    <b v="0"/>
    <b v="1"/>
    <s v="film &amp; video/documentary"/>
    <x v="4"/>
    <s v="documentary"/>
  </r>
  <r>
    <n v="500"/>
    <s v="Valdez Ltd"/>
    <s v="Team-oriented clear-thinking matrix"/>
    <n v="100"/>
    <n v="0"/>
    <x v="0"/>
    <n v="0"/>
    <s v="US"/>
    <s v="USD"/>
    <n v="0"/>
    <n v="1367384400"/>
    <n v="0"/>
    <n v="1369803600"/>
    <x v="472"/>
    <d v="2013-05-29T05:00:00"/>
    <b v="0"/>
    <b v="1"/>
    <s v="theater/plays"/>
    <x v="3"/>
    <s v="plays"/>
  </r>
  <r>
    <n v="501"/>
    <s v="Mccann-Le"/>
    <s v="Focused coherent methodology"/>
    <n v="153600"/>
    <n v="107743"/>
    <x v="0"/>
    <n v="1796"/>
    <s v="US"/>
    <s v="USD"/>
    <n v="70.145182291666657"/>
    <n v="1363064400"/>
    <n v="59.990534521158132"/>
    <n v="1363237200"/>
    <x v="473"/>
    <d v="2013-03-14T05:00:00"/>
    <b v="0"/>
    <b v="0"/>
    <s v="film &amp; video/documentary"/>
    <x v="4"/>
    <s v="documentary"/>
  </r>
  <r>
    <n v="502"/>
    <s v="Johnson Inc"/>
    <s v="Reduced context-sensitive complexity"/>
    <n v="1300"/>
    <n v="6889"/>
    <x v="1"/>
    <n v="186"/>
    <s v="AU"/>
    <s v="AUD"/>
    <n v="529.92307692307691"/>
    <n v="1343365200"/>
    <n v="37.037634408602152"/>
    <n v="1345870800"/>
    <x v="474"/>
    <d v="2012-08-25T05:00:00"/>
    <b v="0"/>
    <b v="1"/>
    <s v="games/video games"/>
    <x v="6"/>
    <s v="video games"/>
  </r>
  <r>
    <n v="503"/>
    <s v="Collins LLC"/>
    <s v="Decentralized 4thgeneration time-frame"/>
    <n v="25500"/>
    <n v="45983"/>
    <x v="1"/>
    <n v="460"/>
    <s v="US"/>
    <s v="USD"/>
    <n v="180.32549019607845"/>
    <n v="1435726800"/>
    <n v="99.963043478260872"/>
    <n v="1437454800"/>
    <x v="72"/>
    <d v="2015-07-21T05:00:00"/>
    <b v="0"/>
    <b v="0"/>
    <s v="film &amp; video/drama"/>
    <x v="4"/>
    <s v="drama"/>
  </r>
  <r>
    <n v="504"/>
    <s v="Smith-Miller"/>
    <s v="De-engineered cohesive moderator"/>
    <n v="7500"/>
    <n v="6924"/>
    <x v="0"/>
    <n v="62"/>
    <s v="IT"/>
    <s v="EUR"/>
    <n v="92.320000000000007"/>
    <n v="1431925200"/>
    <n v="111.6774193548387"/>
    <n v="1432011600"/>
    <x v="443"/>
    <d v="2015-05-19T05:00:00"/>
    <b v="0"/>
    <b v="0"/>
    <s v="music/rock"/>
    <x v="1"/>
    <s v="rock"/>
  </r>
  <r>
    <n v="505"/>
    <s v="Jensen-Vargas"/>
    <s v="Ameliorated explicit parallelism"/>
    <n v="89900"/>
    <n v="12497"/>
    <x v="0"/>
    <n v="347"/>
    <s v="US"/>
    <s v="USD"/>
    <n v="13.901001112347053"/>
    <n v="1362722400"/>
    <n v="36.014409221902014"/>
    <n v="1366347600"/>
    <x v="475"/>
    <d v="2013-04-19T05:00:00"/>
    <b v="0"/>
    <b v="1"/>
    <s v="publishing/radio &amp; podcasts"/>
    <x v="5"/>
    <s v="radio &amp; podcasts"/>
  </r>
  <r>
    <n v="506"/>
    <s v="Robles, Bell and Gonzalez"/>
    <s v="Customizable background monitoring"/>
    <n v="18000"/>
    <n v="166874"/>
    <x v="1"/>
    <n v="2528"/>
    <s v="US"/>
    <s v="USD"/>
    <n v="927.07777777777767"/>
    <n v="1511416800"/>
    <n v="66.010284810126578"/>
    <n v="1512885600"/>
    <x v="81"/>
    <d v="2017-12-10T06:00:00"/>
    <b v="0"/>
    <b v="1"/>
    <s v="theater/plays"/>
    <x v="3"/>
    <s v="plays"/>
  </r>
  <r>
    <n v="507"/>
    <s v="Turner, Miller and Francis"/>
    <s v="Compatible well-modulated budgetary management"/>
    <n v="2100"/>
    <n v="837"/>
    <x v="0"/>
    <n v="19"/>
    <s v="US"/>
    <s v="USD"/>
    <n v="39.857142857142861"/>
    <n v="1365483600"/>
    <n v="44.05263157894737"/>
    <n v="1369717200"/>
    <x v="476"/>
    <d v="2013-05-28T05:00:00"/>
    <b v="0"/>
    <b v="1"/>
    <s v="technology/web"/>
    <x v="2"/>
    <s v="web"/>
  </r>
  <r>
    <n v="508"/>
    <s v="Roberts Group"/>
    <s v="Up-sized radical pricing structure"/>
    <n v="172700"/>
    <n v="193820"/>
    <x v="1"/>
    <n v="3657"/>
    <s v="US"/>
    <s v="USD"/>
    <n v="112.22929936305732"/>
    <n v="1532840400"/>
    <n v="52.999726551818434"/>
    <n v="1534654800"/>
    <x v="192"/>
    <d v="2018-08-19T05:00:00"/>
    <b v="0"/>
    <b v="0"/>
    <s v="theater/plays"/>
    <x v="3"/>
    <s v="plays"/>
  </r>
  <r>
    <n v="509"/>
    <s v="White LLC"/>
    <s v="Robust zero-defect project"/>
    <n v="168500"/>
    <n v="119510"/>
    <x v="0"/>
    <n v="1258"/>
    <s v="US"/>
    <s v="USD"/>
    <n v="70.925816023738875"/>
    <n v="1336194000"/>
    <n v="95"/>
    <n v="1337058000"/>
    <x v="477"/>
    <d v="2012-05-15T05:00:00"/>
    <b v="0"/>
    <b v="0"/>
    <s v="theater/plays"/>
    <x v="3"/>
    <s v="plays"/>
  </r>
  <r>
    <n v="510"/>
    <s v="Best, Miller and Thomas"/>
    <s v="Re-engineered mobile task-force"/>
    <n v="7800"/>
    <n v="9289"/>
    <x v="1"/>
    <n v="131"/>
    <s v="AU"/>
    <s v="AUD"/>
    <n v="119.08974358974358"/>
    <n v="1527742800"/>
    <n v="70.908396946564892"/>
    <n v="1529816400"/>
    <x v="478"/>
    <d v="2018-06-24T05:00:00"/>
    <b v="0"/>
    <b v="0"/>
    <s v="film &amp; video/drama"/>
    <x v="4"/>
    <s v="drama"/>
  </r>
  <r>
    <n v="511"/>
    <s v="Smith-Mullins"/>
    <s v="User-centric intangible neural-net"/>
    <n v="147800"/>
    <n v="35498"/>
    <x v="0"/>
    <n v="362"/>
    <s v="US"/>
    <s v="USD"/>
    <n v="24.017591339648174"/>
    <n v="1564030800"/>
    <n v="98.060773480662988"/>
    <n v="1564894800"/>
    <x v="479"/>
    <d v="2019-08-04T05:00:00"/>
    <b v="0"/>
    <b v="0"/>
    <s v="theater/plays"/>
    <x v="3"/>
    <s v="plays"/>
  </r>
  <r>
    <n v="512"/>
    <s v="Williams-Walsh"/>
    <s v="Organized explicit core"/>
    <n v="9100"/>
    <n v="12678"/>
    <x v="1"/>
    <n v="239"/>
    <s v="US"/>
    <s v="USD"/>
    <n v="139.31868131868131"/>
    <n v="1404536400"/>
    <n v="53.046025104602514"/>
    <n v="1404622800"/>
    <x v="480"/>
    <d v="2014-07-06T05:00:00"/>
    <b v="0"/>
    <b v="1"/>
    <s v="games/video games"/>
    <x v="6"/>
    <s v="video games"/>
  </r>
  <r>
    <n v="513"/>
    <s v="Harrison, Blackwell and Mendez"/>
    <s v="Synchronized 6thgeneration adapter"/>
    <n v="8300"/>
    <n v="3260"/>
    <x v="3"/>
    <n v="35"/>
    <s v="US"/>
    <s v="USD"/>
    <n v="39.277108433734945"/>
    <n v="1284008400"/>
    <n v="93.142857142857139"/>
    <n v="1284181200"/>
    <x v="180"/>
    <d v="2010-09-11T05:00:00"/>
    <b v="0"/>
    <b v="0"/>
    <s v="film &amp; video/television"/>
    <x v="4"/>
    <s v="television"/>
  </r>
  <r>
    <n v="514"/>
    <s v="Sanchez, Bradley and Flores"/>
    <s v="Centralized motivating capacity"/>
    <n v="138700"/>
    <n v="31123"/>
    <x v="3"/>
    <n v="528"/>
    <s v="CH"/>
    <s v="CHF"/>
    <n v="22.439077144917089"/>
    <n v="1386309600"/>
    <n v="58.945075757575758"/>
    <n v="1386741600"/>
    <x v="481"/>
    <d v="2013-12-11T06:00:00"/>
    <b v="0"/>
    <b v="1"/>
    <s v="music/rock"/>
    <x v="1"/>
    <s v="rock"/>
  </r>
  <r>
    <n v="515"/>
    <s v="Cox LLC"/>
    <s v="Phased 24hour flexibility"/>
    <n v="8600"/>
    <n v="4797"/>
    <x v="0"/>
    <n v="133"/>
    <s v="CA"/>
    <s v="CAD"/>
    <n v="55.779069767441861"/>
    <n v="1324620000"/>
    <n v="36.067669172932334"/>
    <n v="1324792800"/>
    <x v="482"/>
    <d v="2011-12-25T06:00:00"/>
    <b v="0"/>
    <b v="1"/>
    <s v="theater/plays"/>
    <x v="3"/>
    <s v="plays"/>
  </r>
  <r>
    <n v="516"/>
    <s v="Morales-Odonnell"/>
    <s v="Exclusive 5thgeneration structure"/>
    <n v="125400"/>
    <n v="53324"/>
    <x v="0"/>
    <n v="846"/>
    <s v="US"/>
    <s v="USD"/>
    <n v="42.523125996810208"/>
    <n v="1281070800"/>
    <n v="63.030732860520096"/>
    <n v="1284354000"/>
    <x v="194"/>
    <d v="2010-09-13T05:00:00"/>
    <b v="0"/>
    <b v="0"/>
    <s v="publishing/nonfiction"/>
    <x v="5"/>
    <s v="nonfiction"/>
  </r>
  <r>
    <n v="517"/>
    <s v="Ramirez LLC"/>
    <s v="Multi-tiered maximized orchestration"/>
    <n v="5900"/>
    <n v="6608"/>
    <x v="1"/>
    <n v="78"/>
    <s v="US"/>
    <s v="USD"/>
    <n v="112.00000000000001"/>
    <n v="1493960400"/>
    <n v="84.717948717948715"/>
    <n v="1494392400"/>
    <x v="483"/>
    <d v="2017-05-10T05:00:00"/>
    <b v="0"/>
    <b v="0"/>
    <s v="food/food trucks"/>
    <x v="0"/>
    <s v="food trucks"/>
  </r>
  <r>
    <n v="518"/>
    <s v="Ramirez Group"/>
    <s v="Open-architected uniform instruction set"/>
    <n v="8800"/>
    <n v="622"/>
    <x v="0"/>
    <n v="10"/>
    <s v="US"/>
    <s v="USD"/>
    <n v="7.0681818181818183"/>
    <n v="1519365600"/>
    <n v="62.2"/>
    <n v="1519538400"/>
    <x v="484"/>
    <d v="2018-02-25T06:00:00"/>
    <b v="0"/>
    <b v="1"/>
    <s v="film &amp; video/animation"/>
    <x v="4"/>
    <s v="animation"/>
  </r>
  <r>
    <n v="519"/>
    <s v="Marsh-Coleman"/>
    <s v="Exclusive asymmetric analyzer"/>
    <n v="177700"/>
    <n v="180802"/>
    <x v="1"/>
    <n v="1773"/>
    <s v="US"/>
    <s v="USD"/>
    <n v="101.74563871693867"/>
    <n v="1420696800"/>
    <n v="101.97518330513255"/>
    <n v="1421906400"/>
    <x v="355"/>
    <d v="2015-01-22T06:00:00"/>
    <b v="0"/>
    <b v="1"/>
    <s v="music/rock"/>
    <x v="1"/>
    <s v="rock"/>
  </r>
  <r>
    <n v="520"/>
    <s v="Frederick, Jenkins and Collins"/>
    <s v="Organic radical collaboration"/>
    <n v="800"/>
    <n v="3406"/>
    <x v="1"/>
    <n v="32"/>
    <s v="US"/>
    <s v="USD"/>
    <n v="425.75"/>
    <n v="1555650000"/>
    <n v="106.4375"/>
    <n v="1555909200"/>
    <x v="485"/>
    <d v="2019-04-22T05:00:00"/>
    <b v="0"/>
    <b v="0"/>
    <s v="theater/plays"/>
    <x v="3"/>
    <s v="plays"/>
  </r>
  <r>
    <n v="521"/>
    <s v="Wilson Ltd"/>
    <s v="Function-based multi-state software"/>
    <n v="7600"/>
    <n v="11061"/>
    <x v="1"/>
    <n v="369"/>
    <s v="US"/>
    <s v="USD"/>
    <n v="145.53947368421052"/>
    <n v="1471928400"/>
    <n v="29.975609756097562"/>
    <n v="1472446800"/>
    <x v="486"/>
    <d v="2016-08-29T05:00:00"/>
    <b v="0"/>
    <b v="1"/>
    <s v="film &amp; video/drama"/>
    <x v="4"/>
    <s v="drama"/>
  </r>
  <r>
    <n v="522"/>
    <s v="Cline, Peterson and Lowery"/>
    <s v="Innovative static budgetary management"/>
    <n v="50500"/>
    <n v="16389"/>
    <x v="0"/>
    <n v="191"/>
    <s v="US"/>
    <s v="USD"/>
    <n v="32.453465346534657"/>
    <n v="1341291600"/>
    <n v="85.806282722513089"/>
    <n v="1342328400"/>
    <x v="487"/>
    <d v="2012-07-15T05:00:00"/>
    <b v="0"/>
    <b v="0"/>
    <s v="film &amp; video/shorts"/>
    <x v="4"/>
    <s v="shorts"/>
  </r>
  <r>
    <n v="523"/>
    <s v="Underwood, James and Jones"/>
    <s v="Triple-buffered holistic ability"/>
    <n v="900"/>
    <n v="6303"/>
    <x v="1"/>
    <n v="89"/>
    <s v="US"/>
    <s v="USD"/>
    <n v="700.33333333333326"/>
    <n v="1267682400"/>
    <n v="70.82022471910112"/>
    <n v="1268114400"/>
    <x v="488"/>
    <d v="2010-03-09T06:00:00"/>
    <b v="0"/>
    <b v="0"/>
    <s v="film &amp; video/shorts"/>
    <x v="4"/>
    <s v="shorts"/>
  </r>
  <r>
    <n v="524"/>
    <s v="Johnson-Contreras"/>
    <s v="Diverse scalable superstructure"/>
    <n v="96700"/>
    <n v="81136"/>
    <x v="0"/>
    <n v="1979"/>
    <s v="US"/>
    <s v="USD"/>
    <n v="83.904860392967933"/>
    <n v="1272258000"/>
    <n v="40.998484082870135"/>
    <n v="1273381200"/>
    <x v="489"/>
    <d v="2010-05-09T05:00:00"/>
    <b v="0"/>
    <b v="0"/>
    <s v="theater/plays"/>
    <x v="3"/>
    <s v="plays"/>
  </r>
  <r>
    <n v="525"/>
    <s v="Greene, Lloyd and Sims"/>
    <s v="Balanced leadingedge data-warehouse"/>
    <n v="2100"/>
    <n v="1768"/>
    <x v="0"/>
    <n v="63"/>
    <s v="US"/>
    <s v="USD"/>
    <n v="84.19047619047619"/>
    <n v="1290492000"/>
    <n v="28.063492063492063"/>
    <n v="1290837600"/>
    <x v="490"/>
    <d v="2010-11-27T06:00:00"/>
    <b v="0"/>
    <b v="0"/>
    <s v="technology/wearables"/>
    <x v="2"/>
    <s v="wearables"/>
  </r>
  <r>
    <n v="526"/>
    <s v="Smith-Sparks"/>
    <s v="Digitized bandwidth-monitored open architecture"/>
    <n v="8300"/>
    <n v="12944"/>
    <x v="1"/>
    <n v="147"/>
    <s v="US"/>
    <s v="USD"/>
    <n v="155.95180722891567"/>
    <n v="1451109600"/>
    <n v="88.054421768707485"/>
    <n v="1454306400"/>
    <x v="312"/>
    <d v="2016-02-01T06:00:00"/>
    <b v="0"/>
    <b v="1"/>
    <s v="theater/plays"/>
    <x v="3"/>
    <s v="plays"/>
  </r>
  <r>
    <n v="527"/>
    <s v="Rosario-Smith"/>
    <s v="Enterprise-wide intermediate portal"/>
    <n v="189200"/>
    <n v="188480"/>
    <x v="0"/>
    <n v="6080"/>
    <s v="CA"/>
    <s v="CAD"/>
    <n v="99.619450317124731"/>
    <n v="1454652000"/>
    <n v="31"/>
    <n v="1457762400"/>
    <x v="491"/>
    <d v="2016-03-12T06:00:00"/>
    <b v="0"/>
    <b v="0"/>
    <s v="film &amp; video/animation"/>
    <x v="4"/>
    <s v="animation"/>
  </r>
  <r>
    <n v="528"/>
    <s v="Avila, Ford and Welch"/>
    <s v="Focused leadingedge matrix"/>
    <n v="9000"/>
    <n v="7227"/>
    <x v="0"/>
    <n v="80"/>
    <s v="GB"/>
    <s v="GBP"/>
    <n v="80.300000000000011"/>
    <n v="1385186400"/>
    <n v="90.337500000000006"/>
    <n v="1389074400"/>
    <x v="492"/>
    <d v="2014-01-07T06:00:00"/>
    <b v="0"/>
    <b v="0"/>
    <s v="music/indie rock"/>
    <x v="1"/>
    <s v="indie rock"/>
  </r>
  <r>
    <n v="529"/>
    <s v="Gallegos Inc"/>
    <s v="Seamless logistical encryption"/>
    <n v="5100"/>
    <n v="574"/>
    <x v="0"/>
    <n v="9"/>
    <s v="US"/>
    <s v="USD"/>
    <n v="11.254901960784313"/>
    <n v="1399698000"/>
    <n v="63.777777777777779"/>
    <n v="1402117200"/>
    <x v="493"/>
    <d v="2014-06-07T05:00:00"/>
    <b v="0"/>
    <b v="0"/>
    <s v="games/video games"/>
    <x v="6"/>
    <s v="video games"/>
  </r>
  <r>
    <n v="530"/>
    <s v="Morrow, Santiago and Soto"/>
    <s v="Stand-alone human-resource workforce"/>
    <n v="105000"/>
    <n v="96328"/>
    <x v="0"/>
    <n v="1784"/>
    <s v="US"/>
    <s v="USD"/>
    <n v="91.740952380952379"/>
    <n v="1283230800"/>
    <n v="53.995515695067262"/>
    <n v="1284440400"/>
    <x v="494"/>
    <d v="2010-09-14T05:00:00"/>
    <b v="0"/>
    <b v="1"/>
    <s v="publishing/fiction"/>
    <x v="5"/>
    <s v="fiction"/>
  </r>
  <r>
    <n v="531"/>
    <s v="Berry-Richardson"/>
    <s v="Automated zero tolerance implementation"/>
    <n v="186700"/>
    <n v="178338"/>
    <x v="2"/>
    <n v="3640"/>
    <s v="CH"/>
    <s v="CHF"/>
    <n v="95.521156936261391"/>
    <n v="1384149600"/>
    <n v="48.993956043956047"/>
    <n v="1388988000"/>
    <x v="495"/>
    <d v="2014-01-06T06:00:00"/>
    <b v="0"/>
    <b v="0"/>
    <s v="games/video games"/>
    <x v="6"/>
    <s v="video games"/>
  </r>
  <r>
    <n v="532"/>
    <s v="Cordova-Torres"/>
    <s v="Pre-emptive grid-enabled contingency"/>
    <n v="1600"/>
    <n v="8046"/>
    <x v="1"/>
    <n v="126"/>
    <s v="CA"/>
    <s v="CAD"/>
    <n v="502.87499999999994"/>
    <n v="1516860000"/>
    <n v="63.857142857142854"/>
    <n v="1516946400"/>
    <x v="496"/>
    <d v="2018-01-26T06:00:00"/>
    <b v="0"/>
    <b v="0"/>
    <s v="theater/plays"/>
    <x v="3"/>
    <s v="plays"/>
  </r>
  <r>
    <n v="533"/>
    <s v="Holt, Bernard and Johnson"/>
    <s v="Multi-lateral didactic encoding"/>
    <n v="115600"/>
    <n v="184086"/>
    <x v="1"/>
    <n v="2218"/>
    <s v="GB"/>
    <s v="GBP"/>
    <n v="159.24394463667818"/>
    <n v="1374642000"/>
    <n v="82.996393146979258"/>
    <n v="1377752400"/>
    <x v="497"/>
    <d v="2013-08-29T05:00:00"/>
    <b v="0"/>
    <b v="0"/>
    <s v="music/indie rock"/>
    <x v="1"/>
    <s v="indie rock"/>
  </r>
  <r>
    <n v="534"/>
    <s v="Clark, Mccormick and Mendoza"/>
    <s v="Self-enabling didactic orchestration"/>
    <n v="89100"/>
    <n v="13385"/>
    <x v="0"/>
    <n v="243"/>
    <s v="US"/>
    <s v="USD"/>
    <n v="15.022446689113355"/>
    <n v="1534482000"/>
    <n v="55.08230452674897"/>
    <n v="1534568400"/>
    <x v="498"/>
    <d v="2018-08-18T05:00:00"/>
    <b v="0"/>
    <b v="1"/>
    <s v="film &amp; video/drama"/>
    <x v="4"/>
    <s v="drama"/>
  </r>
  <r>
    <n v="535"/>
    <s v="Garrison LLC"/>
    <s v="Profit-focused 24/7 data-warehouse"/>
    <n v="2600"/>
    <n v="12533"/>
    <x v="1"/>
    <n v="202"/>
    <s v="IT"/>
    <s v="EUR"/>
    <n v="482.03846153846149"/>
    <n v="1528434000"/>
    <n v="62.044554455445542"/>
    <n v="1528606800"/>
    <x v="499"/>
    <d v="2018-06-10T05:00:00"/>
    <b v="0"/>
    <b v="1"/>
    <s v="theater/plays"/>
    <x v="3"/>
    <s v="plays"/>
  </r>
  <r>
    <n v="536"/>
    <s v="Shannon-Olson"/>
    <s v="Enhanced methodical middleware"/>
    <n v="9800"/>
    <n v="14697"/>
    <x v="1"/>
    <n v="140"/>
    <s v="IT"/>
    <s v="EUR"/>
    <n v="149.96938775510205"/>
    <n v="1282626000"/>
    <n v="104.97857142857143"/>
    <n v="1284872400"/>
    <x v="500"/>
    <d v="2010-09-19T05:00:00"/>
    <b v="0"/>
    <b v="0"/>
    <s v="publishing/fiction"/>
    <x v="5"/>
    <s v="fiction"/>
  </r>
  <r>
    <n v="537"/>
    <s v="Murillo-Mcfarland"/>
    <s v="Synchronized client-driven projection"/>
    <n v="84400"/>
    <n v="98935"/>
    <x v="1"/>
    <n v="1052"/>
    <s v="DK"/>
    <s v="DKK"/>
    <n v="117.22156398104266"/>
    <n v="1535605200"/>
    <n v="94.044676806083643"/>
    <n v="1537592400"/>
    <x v="501"/>
    <d v="2018-09-22T05:00:00"/>
    <b v="1"/>
    <b v="1"/>
    <s v="film &amp; video/documentary"/>
    <x v="4"/>
    <s v="documentary"/>
  </r>
  <r>
    <n v="538"/>
    <s v="Young, Gilbert and Escobar"/>
    <s v="Networked didactic time-frame"/>
    <n v="151300"/>
    <n v="57034"/>
    <x v="0"/>
    <n v="1296"/>
    <s v="US"/>
    <s v="USD"/>
    <n v="37.695968274950431"/>
    <n v="1379826000"/>
    <n v="44.007716049382715"/>
    <n v="1381208400"/>
    <x v="502"/>
    <d v="2013-10-08T05:00:00"/>
    <b v="0"/>
    <b v="0"/>
    <s v="games/mobile games"/>
    <x v="6"/>
    <s v="mobile games"/>
  </r>
  <r>
    <n v="539"/>
    <s v="Thomas, Welch and Santana"/>
    <s v="Assimilated exuding toolset"/>
    <n v="9800"/>
    <n v="7120"/>
    <x v="0"/>
    <n v="77"/>
    <s v="US"/>
    <s v="USD"/>
    <n v="72.653061224489804"/>
    <n v="1561957200"/>
    <n v="92.467532467532465"/>
    <n v="1562475600"/>
    <x v="503"/>
    <d v="2019-07-07T05:00:00"/>
    <b v="0"/>
    <b v="1"/>
    <s v="food/food trucks"/>
    <x v="0"/>
    <s v="food trucks"/>
  </r>
  <r>
    <n v="540"/>
    <s v="Brown-Pena"/>
    <s v="Front-line client-server secured line"/>
    <n v="5300"/>
    <n v="14097"/>
    <x v="1"/>
    <n v="247"/>
    <s v="US"/>
    <s v="USD"/>
    <n v="265.98113207547169"/>
    <n v="1525496400"/>
    <n v="57.072874493927124"/>
    <n v="1527397200"/>
    <x v="504"/>
    <d v="2018-05-27T05:00:00"/>
    <b v="0"/>
    <b v="0"/>
    <s v="photography/photography books"/>
    <x v="7"/>
    <s v="photography books"/>
  </r>
  <r>
    <n v="541"/>
    <s v="Holder, Caldwell and Vance"/>
    <s v="Polarized systemic Internet solution"/>
    <n v="178000"/>
    <n v="43086"/>
    <x v="0"/>
    <n v="395"/>
    <s v="IT"/>
    <s v="EUR"/>
    <n v="24.205617977528089"/>
    <n v="1433912400"/>
    <n v="109.07848101265823"/>
    <n v="1436158800"/>
    <x v="505"/>
    <d v="2015-07-06T05:00:00"/>
    <b v="0"/>
    <b v="0"/>
    <s v="games/mobile games"/>
    <x v="6"/>
    <s v="mobile games"/>
  </r>
  <r>
    <n v="542"/>
    <s v="Harrison-Bridges"/>
    <s v="Profit-focused exuding moderator"/>
    <n v="77000"/>
    <n v="1930"/>
    <x v="0"/>
    <n v="49"/>
    <s v="GB"/>
    <s v="GBP"/>
    <n v="2.5064935064935066"/>
    <n v="1453442400"/>
    <n v="39.387755102040813"/>
    <n v="1456034400"/>
    <x v="506"/>
    <d v="2016-02-21T06:00:00"/>
    <b v="0"/>
    <b v="0"/>
    <s v="music/indie rock"/>
    <x v="1"/>
    <s v="indie rock"/>
  </r>
  <r>
    <n v="543"/>
    <s v="Johnson, Murphy and Peterson"/>
    <s v="Cross-group high-level moderator"/>
    <n v="84900"/>
    <n v="13864"/>
    <x v="0"/>
    <n v="180"/>
    <s v="US"/>
    <s v="USD"/>
    <n v="16.329799764428738"/>
    <n v="1378875600"/>
    <n v="77.022222222222226"/>
    <n v="1380171600"/>
    <x v="507"/>
    <d v="2013-09-26T05:00:00"/>
    <b v="0"/>
    <b v="0"/>
    <s v="games/video games"/>
    <x v="6"/>
    <s v="video games"/>
  </r>
  <r>
    <n v="544"/>
    <s v="Taylor Inc"/>
    <s v="Public-key 3rdgeneration system engine"/>
    <n v="2800"/>
    <n v="7742"/>
    <x v="1"/>
    <n v="84"/>
    <s v="US"/>
    <s v="USD"/>
    <n v="276.5"/>
    <n v="1452232800"/>
    <n v="92.166666666666671"/>
    <n v="1453356000"/>
    <x v="508"/>
    <d v="2016-01-21T06:00:00"/>
    <b v="0"/>
    <b v="0"/>
    <s v="music/rock"/>
    <x v="1"/>
    <s v="rock"/>
  </r>
  <r>
    <n v="545"/>
    <s v="Deleon and Sons"/>
    <s v="Organized value-added access"/>
    <n v="184800"/>
    <n v="164109"/>
    <x v="0"/>
    <n v="2690"/>
    <s v="US"/>
    <s v="USD"/>
    <n v="88.803571428571431"/>
    <n v="1577253600"/>
    <n v="61.007063197026021"/>
    <n v="1578981600"/>
    <x v="509"/>
    <d v="2020-01-14T06:00:00"/>
    <b v="0"/>
    <b v="0"/>
    <s v="theater/plays"/>
    <x v="3"/>
    <s v="plays"/>
  </r>
  <r>
    <n v="546"/>
    <s v="Benjamin, Paul and Ferguson"/>
    <s v="Cloned global Graphical User Interface"/>
    <n v="4200"/>
    <n v="6870"/>
    <x v="1"/>
    <n v="88"/>
    <s v="US"/>
    <s v="USD"/>
    <n v="163.57142857142856"/>
    <n v="1537160400"/>
    <n v="78.068181818181813"/>
    <n v="1537419600"/>
    <x v="510"/>
    <d v="2018-09-20T05:00:00"/>
    <b v="0"/>
    <b v="1"/>
    <s v="theater/plays"/>
    <x v="3"/>
    <s v="plays"/>
  </r>
  <r>
    <n v="547"/>
    <s v="Hardin-Dixon"/>
    <s v="Focused solution-oriented matrix"/>
    <n v="1300"/>
    <n v="12597"/>
    <x v="1"/>
    <n v="156"/>
    <s v="US"/>
    <s v="USD"/>
    <n v="969"/>
    <n v="1422165600"/>
    <n v="80.75"/>
    <n v="1423202400"/>
    <x v="511"/>
    <d v="2015-02-06T06:00:00"/>
    <b v="0"/>
    <b v="0"/>
    <s v="film &amp; video/drama"/>
    <x v="4"/>
    <s v="drama"/>
  </r>
  <r>
    <n v="548"/>
    <s v="York-Pitts"/>
    <s v="Monitored discrete toolset"/>
    <n v="66100"/>
    <n v="179074"/>
    <x v="1"/>
    <n v="2985"/>
    <s v="US"/>
    <s v="USD"/>
    <n v="270.91376701966715"/>
    <n v="1459486800"/>
    <n v="59.991289782244557"/>
    <n v="1460610000"/>
    <x v="512"/>
    <d v="2016-04-14T05:00:00"/>
    <b v="0"/>
    <b v="0"/>
    <s v="theater/plays"/>
    <x v="3"/>
    <s v="plays"/>
  </r>
  <r>
    <n v="549"/>
    <s v="Jarvis and Sons"/>
    <s v="Business-focused intermediate system engine"/>
    <n v="29500"/>
    <n v="83843"/>
    <x v="1"/>
    <n v="762"/>
    <s v="US"/>
    <s v="USD"/>
    <n v="284.21355932203392"/>
    <n v="1369717200"/>
    <n v="110.03018372703411"/>
    <n v="1370494800"/>
    <x v="513"/>
    <d v="2013-06-06T05:00:00"/>
    <b v="0"/>
    <b v="0"/>
    <s v="technology/wearables"/>
    <x v="2"/>
    <s v="wearables"/>
  </r>
  <r>
    <n v="550"/>
    <s v="Morrison-Henderson"/>
    <s v="De-engineered disintermediate encoding"/>
    <n v="100"/>
    <n v="4"/>
    <x v="3"/>
    <n v="1"/>
    <s v="CH"/>
    <s v="CHF"/>
    <n v="4"/>
    <n v="1330495200"/>
    <n v="4"/>
    <n v="1332306000"/>
    <x v="514"/>
    <d v="2012-03-21T05:00:00"/>
    <b v="0"/>
    <b v="0"/>
    <s v="music/indie rock"/>
    <x v="1"/>
    <s v="indie rock"/>
  </r>
  <r>
    <n v="551"/>
    <s v="Martin-James"/>
    <s v="Streamlined upward-trending analyzer"/>
    <n v="180100"/>
    <n v="105598"/>
    <x v="0"/>
    <n v="2779"/>
    <s v="AU"/>
    <s v="AUD"/>
    <n v="58.6329816768462"/>
    <n v="1419055200"/>
    <n v="37.99856063332134"/>
    <n v="1422511200"/>
    <x v="515"/>
    <d v="2015-01-29T06:00:00"/>
    <b v="0"/>
    <b v="1"/>
    <s v="technology/web"/>
    <x v="2"/>
    <s v="web"/>
  </r>
  <r>
    <n v="552"/>
    <s v="Mercer, Solomon and Singleton"/>
    <s v="Distributed human-resource policy"/>
    <n v="9000"/>
    <n v="8866"/>
    <x v="0"/>
    <n v="92"/>
    <s v="US"/>
    <s v="USD"/>
    <n v="98.51111111111112"/>
    <n v="1480140000"/>
    <n v="96.369565217391298"/>
    <n v="1480312800"/>
    <x v="516"/>
    <d v="2016-11-28T06:00:00"/>
    <b v="0"/>
    <b v="0"/>
    <s v="theater/plays"/>
    <x v="3"/>
    <s v="plays"/>
  </r>
  <r>
    <n v="553"/>
    <s v="Dougherty, Austin and Mills"/>
    <s v="De-engineered 5thgeneration contingency"/>
    <n v="170600"/>
    <n v="75022"/>
    <x v="0"/>
    <n v="1028"/>
    <s v="US"/>
    <s v="USD"/>
    <n v="43.975381008206334"/>
    <n v="1293948000"/>
    <n v="72.978599221789878"/>
    <n v="1294034400"/>
    <x v="517"/>
    <d v="2011-01-03T06:00:00"/>
    <b v="0"/>
    <b v="0"/>
    <s v="music/rock"/>
    <x v="1"/>
    <s v="rock"/>
  </r>
  <r>
    <n v="554"/>
    <s v="Ritter PLC"/>
    <s v="Multi-channeled upward-trending application"/>
    <n v="9500"/>
    <n v="14408"/>
    <x v="1"/>
    <n v="554"/>
    <s v="CA"/>
    <s v="CAD"/>
    <n v="151.66315789473683"/>
    <n v="1482127200"/>
    <n v="26.007220216606498"/>
    <n v="1482645600"/>
    <x v="518"/>
    <d v="2016-12-25T06:00:00"/>
    <b v="0"/>
    <b v="0"/>
    <s v="music/indie rock"/>
    <x v="1"/>
    <s v="indie rock"/>
  </r>
  <r>
    <n v="555"/>
    <s v="Anderson Group"/>
    <s v="Organic maximized database"/>
    <n v="6300"/>
    <n v="14089"/>
    <x v="1"/>
    <n v="135"/>
    <s v="DK"/>
    <s v="DKK"/>
    <n v="223.63492063492063"/>
    <n v="1396414800"/>
    <n v="104.36296296296297"/>
    <n v="1399093200"/>
    <x v="519"/>
    <d v="2014-05-03T05:00:00"/>
    <b v="0"/>
    <b v="0"/>
    <s v="music/rock"/>
    <x v="1"/>
    <s v="rock"/>
  </r>
  <r>
    <n v="556"/>
    <s v="Smith and Sons"/>
    <s v="Grass-roots 24/7 attitude"/>
    <n v="5200"/>
    <n v="12467"/>
    <x v="1"/>
    <n v="122"/>
    <s v="US"/>
    <s v="USD"/>
    <n v="239.75"/>
    <n v="1315285200"/>
    <n v="102.18852459016394"/>
    <n v="1315890000"/>
    <x v="520"/>
    <d v="2011-09-13T05:00:00"/>
    <b v="0"/>
    <b v="1"/>
    <s v="publishing/translations"/>
    <x v="5"/>
    <s v="translations"/>
  </r>
  <r>
    <n v="557"/>
    <s v="Lam-Hamilton"/>
    <s v="Team-oriented global strategy"/>
    <n v="6000"/>
    <n v="11960"/>
    <x v="1"/>
    <n v="221"/>
    <s v="US"/>
    <s v="USD"/>
    <n v="199.33333333333334"/>
    <n v="1443762000"/>
    <n v="54.117647058823529"/>
    <n v="1444021200"/>
    <x v="521"/>
    <d v="2015-10-05T05:00:00"/>
    <b v="0"/>
    <b v="1"/>
    <s v="film &amp; video/science fiction"/>
    <x v="4"/>
    <s v="science fiction"/>
  </r>
  <r>
    <n v="558"/>
    <s v="Ho Ltd"/>
    <s v="Enhanced client-driven capacity"/>
    <n v="5800"/>
    <n v="7966"/>
    <x v="1"/>
    <n v="126"/>
    <s v="US"/>
    <s v="USD"/>
    <n v="137.34482758620689"/>
    <n v="1456293600"/>
    <n v="63.222222222222221"/>
    <n v="1460005200"/>
    <x v="522"/>
    <d v="2016-04-07T05:00:00"/>
    <b v="0"/>
    <b v="0"/>
    <s v="theater/plays"/>
    <x v="3"/>
    <s v="plays"/>
  </r>
  <r>
    <n v="559"/>
    <s v="Brown, Estrada and Jensen"/>
    <s v="Exclusive systematic productivity"/>
    <n v="105300"/>
    <n v="106321"/>
    <x v="1"/>
    <n v="1022"/>
    <s v="US"/>
    <s v="USD"/>
    <n v="100.9696106362773"/>
    <n v="1470114000"/>
    <n v="104.03228962818004"/>
    <n v="1470718800"/>
    <x v="523"/>
    <d v="2016-08-09T05:00:00"/>
    <b v="0"/>
    <b v="0"/>
    <s v="theater/plays"/>
    <x v="3"/>
    <s v="plays"/>
  </r>
  <r>
    <n v="560"/>
    <s v="Hunt LLC"/>
    <s v="Re-engineered radical policy"/>
    <n v="20000"/>
    <n v="158832"/>
    <x v="1"/>
    <n v="3177"/>
    <s v="US"/>
    <s v="USD"/>
    <n v="794.16"/>
    <n v="1321596000"/>
    <n v="49.994334277620396"/>
    <n v="1325052000"/>
    <x v="524"/>
    <d v="2011-12-28T06:00:00"/>
    <b v="0"/>
    <b v="0"/>
    <s v="film &amp; video/animation"/>
    <x v="4"/>
    <s v="animation"/>
  </r>
  <r>
    <n v="561"/>
    <s v="Fowler-Smith"/>
    <s v="Down-sized logistical adapter"/>
    <n v="3000"/>
    <n v="11091"/>
    <x v="1"/>
    <n v="198"/>
    <s v="CH"/>
    <s v="CHF"/>
    <n v="369.7"/>
    <n v="1318827600"/>
    <n v="56.015151515151516"/>
    <n v="1319000400"/>
    <x v="525"/>
    <d v="2011-10-19T05:00:00"/>
    <b v="0"/>
    <b v="0"/>
    <s v="theater/plays"/>
    <x v="3"/>
    <s v="plays"/>
  </r>
  <r>
    <n v="562"/>
    <s v="Blair Inc"/>
    <s v="Configurable bandwidth-monitored throughput"/>
    <n v="9900"/>
    <n v="1269"/>
    <x v="0"/>
    <n v="26"/>
    <s v="CH"/>
    <s v="CHF"/>
    <n v="12.818181818181817"/>
    <n v="1552366800"/>
    <n v="48.807692307692307"/>
    <n v="1552539600"/>
    <x v="188"/>
    <d v="2019-03-14T05:00:00"/>
    <b v="0"/>
    <b v="0"/>
    <s v="music/rock"/>
    <x v="1"/>
    <s v="rock"/>
  </r>
  <r>
    <n v="563"/>
    <s v="Kelley, Stanton and Sanchez"/>
    <s v="Optional tangible pricing structure"/>
    <n v="3700"/>
    <n v="5107"/>
    <x v="1"/>
    <n v="85"/>
    <s v="AU"/>
    <s v="AUD"/>
    <n v="138.02702702702703"/>
    <n v="1542088800"/>
    <n v="60.082352941176474"/>
    <n v="1543816800"/>
    <x v="526"/>
    <d v="2018-12-03T06:00:00"/>
    <b v="0"/>
    <b v="0"/>
    <s v="film &amp; video/documentary"/>
    <x v="4"/>
    <s v="documentary"/>
  </r>
  <r>
    <n v="564"/>
    <s v="Hernandez-Macdonald"/>
    <s v="Organic high-level implementation"/>
    <n v="168700"/>
    <n v="141393"/>
    <x v="0"/>
    <n v="1790"/>
    <s v="US"/>
    <s v="USD"/>
    <n v="83.813278008298752"/>
    <n v="1426395600"/>
    <n v="78.990502793296088"/>
    <n v="1427086800"/>
    <x v="527"/>
    <d v="2015-03-23T05:00:00"/>
    <b v="0"/>
    <b v="0"/>
    <s v="theater/plays"/>
    <x v="3"/>
    <s v="plays"/>
  </r>
  <r>
    <n v="565"/>
    <s v="Joseph LLC"/>
    <s v="Decentralized logistical collaboration"/>
    <n v="94900"/>
    <n v="194166"/>
    <x v="1"/>
    <n v="3596"/>
    <s v="US"/>
    <s v="USD"/>
    <n v="204.60063224446787"/>
    <n v="1321336800"/>
    <n v="53.99499443826474"/>
    <n v="1323064800"/>
    <x v="528"/>
    <d v="2011-12-05T06:00:00"/>
    <b v="0"/>
    <b v="0"/>
    <s v="theater/plays"/>
    <x v="3"/>
    <s v="plays"/>
  </r>
  <r>
    <n v="566"/>
    <s v="Webb-Smith"/>
    <s v="Advanced content-based installation"/>
    <n v="9300"/>
    <n v="4124"/>
    <x v="0"/>
    <n v="37"/>
    <s v="US"/>
    <s v="USD"/>
    <n v="44.344086021505376"/>
    <n v="1456293600"/>
    <n v="111.45945945945945"/>
    <n v="1458277200"/>
    <x v="522"/>
    <d v="2016-03-18T05:00:00"/>
    <b v="0"/>
    <b v="1"/>
    <s v="music/electric music"/>
    <x v="1"/>
    <s v="electric music"/>
  </r>
  <r>
    <n v="567"/>
    <s v="Johns PLC"/>
    <s v="Distributed high-level open architecture"/>
    <n v="6800"/>
    <n v="14865"/>
    <x v="1"/>
    <n v="244"/>
    <s v="US"/>
    <s v="USD"/>
    <n v="218.60294117647058"/>
    <n v="1404968400"/>
    <n v="60.922131147540981"/>
    <n v="1405141200"/>
    <x v="529"/>
    <d v="2014-07-12T05:00:00"/>
    <b v="0"/>
    <b v="0"/>
    <s v="music/rock"/>
    <x v="1"/>
    <s v="rock"/>
  </r>
  <r>
    <n v="568"/>
    <s v="Hardin-Foley"/>
    <s v="Synergized zero tolerance help-desk"/>
    <n v="72400"/>
    <n v="134688"/>
    <x v="1"/>
    <n v="5180"/>
    <s v="US"/>
    <s v="USD"/>
    <n v="186.03314917127071"/>
    <n v="1279170000"/>
    <n v="26.0015444015444"/>
    <n v="1283058000"/>
    <x v="530"/>
    <d v="2010-08-29T05:00:00"/>
    <b v="0"/>
    <b v="0"/>
    <s v="theater/plays"/>
    <x v="3"/>
    <s v="plays"/>
  </r>
  <r>
    <n v="569"/>
    <s v="Fischer, Fowler and Arnold"/>
    <s v="Extended multi-tasking definition"/>
    <n v="20100"/>
    <n v="47705"/>
    <x v="1"/>
    <n v="589"/>
    <s v="IT"/>
    <s v="EUR"/>
    <n v="237.33830845771143"/>
    <n v="1294725600"/>
    <n v="80.993208828522924"/>
    <n v="1295762400"/>
    <x v="531"/>
    <d v="2011-01-23T06:00:00"/>
    <b v="0"/>
    <b v="0"/>
    <s v="film &amp; video/animation"/>
    <x v="4"/>
    <s v="animation"/>
  </r>
  <r>
    <n v="570"/>
    <s v="Martinez-Juarez"/>
    <s v="Realigned uniform knowledge user"/>
    <n v="31200"/>
    <n v="95364"/>
    <x v="1"/>
    <n v="2725"/>
    <s v="US"/>
    <s v="USD"/>
    <n v="305.65384615384613"/>
    <n v="1419055200"/>
    <n v="34.995963302752294"/>
    <n v="1419573600"/>
    <x v="515"/>
    <d v="2014-12-26T06:00:00"/>
    <b v="0"/>
    <b v="1"/>
    <s v="music/rock"/>
    <x v="1"/>
    <s v="rock"/>
  </r>
  <r>
    <n v="571"/>
    <s v="Wilson and Sons"/>
    <s v="Monitored grid-enabled model"/>
    <n v="3500"/>
    <n v="3295"/>
    <x v="0"/>
    <n v="35"/>
    <s v="IT"/>
    <s v="EUR"/>
    <n v="94.142857142857139"/>
    <n v="1434690000"/>
    <n v="94.142857142857139"/>
    <n v="1438750800"/>
    <x v="532"/>
    <d v="2015-08-05T05:00:00"/>
    <b v="0"/>
    <b v="0"/>
    <s v="film &amp; video/shorts"/>
    <x v="4"/>
    <s v="shorts"/>
  </r>
  <r>
    <n v="572"/>
    <s v="Clements Group"/>
    <s v="Assimilated actuating policy"/>
    <n v="9000"/>
    <n v="4896"/>
    <x v="3"/>
    <n v="94"/>
    <s v="US"/>
    <s v="USD"/>
    <n v="54.400000000000006"/>
    <n v="1443416400"/>
    <n v="52.085106382978722"/>
    <n v="1444798800"/>
    <x v="533"/>
    <d v="2015-10-14T05:00:00"/>
    <b v="0"/>
    <b v="1"/>
    <s v="music/rock"/>
    <x v="1"/>
    <s v="rock"/>
  </r>
  <r>
    <n v="573"/>
    <s v="Valenzuela-Cook"/>
    <s v="Total incremental productivity"/>
    <n v="6700"/>
    <n v="7496"/>
    <x v="1"/>
    <n v="300"/>
    <s v="US"/>
    <s v="USD"/>
    <n v="111.88059701492537"/>
    <n v="1399006800"/>
    <n v="24.986666666666668"/>
    <n v="1399179600"/>
    <x v="409"/>
    <d v="2014-05-04T05:00:00"/>
    <b v="0"/>
    <b v="0"/>
    <s v="journalism/audio"/>
    <x v="8"/>
    <s v="audio"/>
  </r>
  <r>
    <n v="574"/>
    <s v="Parker, Haley and Foster"/>
    <s v="Adaptive local task-force"/>
    <n v="2700"/>
    <n v="9967"/>
    <x v="1"/>
    <n v="144"/>
    <s v="US"/>
    <s v="USD"/>
    <n v="369.14814814814815"/>
    <n v="1575698400"/>
    <n v="69.215277777777771"/>
    <n v="1576562400"/>
    <x v="534"/>
    <d v="2019-12-17T06:00:00"/>
    <b v="0"/>
    <b v="1"/>
    <s v="food/food trucks"/>
    <x v="0"/>
    <s v="food trucks"/>
  </r>
  <r>
    <n v="575"/>
    <s v="Fuentes LLC"/>
    <s v="Universal zero-defect concept"/>
    <n v="83300"/>
    <n v="52421"/>
    <x v="0"/>
    <n v="558"/>
    <s v="US"/>
    <s v="USD"/>
    <n v="62.930372148859547"/>
    <n v="1400562000"/>
    <n v="93.944444444444443"/>
    <n v="1400821200"/>
    <x v="53"/>
    <d v="2014-05-23T05:00:00"/>
    <b v="0"/>
    <b v="1"/>
    <s v="theater/plays"/>
    <x v="3"/>
    <s v="plays"/>
  </r>
  <r>
    <n v="576"/>
    <s v="Moran and Sons"/>
    <s v="Object-based bottom-line superstructure"/>
    <n v="9700"/>
    <n v="6298"/>
    <x v="0"/>
    <n v="64"/>
    <s v="US"/>
    <s v="USD"/>
    <n v="64.927835051546396"/>
    <n v="1509512400"/>
    <n v="98.40625"/>
    <n v="1510984800"/>
    <x v="535"/>
    <d v="2017-11-18T06:00:00"/>
    <b v="0"/>
    <b v="0"/>
    <s v="theater/plays"/>
    <x v="3"/>
    <s v="plays"/>
  </r>
  <r>
    <n v="577"/>
    <s v="Stevens Inc"/>
    <s v="Adaptive 24hour projection"/>
    <n v="8200"/>
    <n v="1546"/>
    <x v="3"/>
    <n v="37"/>
    <s v="US"/>
    <s v="USD"/>
    <n v="18.853658536585368"/>
    <n v="1299823200"/>
    <n v="41.783783783783782"/>
    <n v="1302066000"/>
    <x v="536"/>
    <d v="2011-04-06T05:00:00"/>
    <b v="0"/>
    <b v="0"/>
    <s v="music/jazz"/>
    <x v="1"/>
    <s v="jazz"/>
  </r>
  <r>
    <n v="578"/>
    <s v="Martinez-Johnson"/>
    <s v="Sharable radical toolset"/>
    <n v="96500"/>
    <n v="16168"/>
    <x v="0"/>
    <n v="245"/>
    <s v="US"/>
    <s v="USD"/>
    <n v="16.754404145077721"/>
    <n v="1322719200"/>
    <n v="65.991836734693877"/>
    <n v="1322978400"/>
    <x v="537"/>
    <d v="2011-12-04T06:00:00"/>
    <b v="0"/>
    <b v="0"/>
    <s v="film &amp; video/science fiction"/>
    <x v="4"/>
    <s v="science fiction"/>
  </r>
  <r>
    <n v="579"/>
    <s v="Franklin Inc"/>
    <s v="Focused multimedia knowledgebase"/>
    <n v="6200"/>
    <n v="6269"/>
    <x v="1"/>
    <n v="87"/>
    <s v="US"/>
    <s v="USD"/>
    <n v="101.11290322580646"/>
    <n v="1312693200"/>
    <n v="72.05747126436782"/>
    <n v="1313730000"/>
    <x v="538"/>
    <d v="2011-08-19T05:00:00"/>
    <b v="0"/>
    <b v="0"/>
    <s v="music/jazz"/>
    <x v="1"/>
    <s v="jazz"/>
  </r>
  <r>
    <n v="580"/>
    <s v="Perez PLC"/>
    <s v="Seamless 6thgeneration extranet"/>
    <n v="43800"/>
    <n v="149578"/>
    <x v="1"/>
    <n v="3116"/>
    <s v="US"/>
    <s v="USD"/>
    <n v="341.5022831050228"/>
    <n v="1393394400"/>
    <n v="48.003209242618745"/>
    <n v="1394085600"/>
    <x v="539"/>
    <d v="2014-03-06T06:00:00"/>
    <b v="0"/>
    <b v="0"/>
    <s v="theater/plays"/>
    <x v="3"/>
    <s v="plays"/>
  </r>
  <r>
    <n v="581"/>
    <s v="Sanchez, Cross and Savage"/>
    <s v="Sharable mobile knowledgebase"/>
    <n v="6000"/>
    <n v="3841"/>
    <x v="0"/>
    <n v="71"/>
    <s v="US"/>
    <s v="USD"/>
    <n v="64.016666666666666"/>
    <n v="1304053200"/>
    <n v="54.098591549295776"/>
    <n v="1305349200"/>
    <x v="540"/>
    <d v="2011-05-14T05:00:00"/>
    <b v="0"/>
    <b v="0"/>
    <s v="technology/web"/>
    <x v="2"/>
    <s v="web"/>
  </r>
  <r>
    <n v="582"/>
    <s v="Pineda Ltd"/>
    <s v="Cross-group global system engine"/>
    <n v="8700"/>
    <n v="4531"/>
    <x v="0"/>
    <n v="42"/>
    <s v="US"/>
    <s v="USD"/>
    <n v="52.080459770114942"/>
    <n v="1433912400"/>
    <n v="107.88095238095238"/>
    <n v="1434344400"/>
    <x v="505"/>
    <d v="2015-06-15T05:00:00"/>
    <b v="0"/>
    <b v="1"/>
    <s v="games/video games"/>
    <x v="6"/>
    <s v="video games"/>
  </r>
  <r>
    <n v="583"/>
    <s v="Powell and Sons"/>
    <s v="Centralized clear-thinking conglomeration"/>
    <n v="18900"/>
    <n v="60934"/>
    <x v="1"/>
    <n v="909"/>
    <s v="US"/>
    <s v="USD"/>
    <n v="322.40211640211641"/>
    <n v="1329717600"/>
    <n v="67.034103410341032"/>
    <n v="1331186400"/>
    <x v="541"/>
    <d v="2012-03-08T06:00:00"/>
    <b v="0"/>
    <b v="0"/>
    <s v="film &amp; video/documentary"/>
    <x v="4"/>
    <s v="documentary"/>
  </r>
  <r>
    <n v="584"/>
    <s v="Nunez-Richards"/>
    <s v="De-engineered cohesive system engine"/>
    <n v="86400"/>
    <n v="103255"/>
    <x v="1"/>
    <n v="1613"/>
    <s v="US"/>
    <s v="USD"/>
    <n v="119.50810185185186"/>
    <n v="1335330000"/>
    <n v="64.01425914445133"/>
    <n v="1336539600"/>
    <x v="542"/>
    <d v="2012-05-09T05:00:00"/>
    <b v="0"/>
    <b v="0"/>
    <s v="technology/web"/>
    <x v="2"/>
    <s v="web"/>
  </r>
  <r>
    <n v="585"/>
    <s v="Pugh LLC"/>
    <s v="Reactive analyzing function"/>
    <n v="8900"/>
    <n v="13065"/>
    <x v="1"/>
    <n v="136"/>
    <s v="US"/>
    <s v="USD"/>
    <n v="146.79775280898878"/>
    <n v="1268888400"/>
    <n v="96.066176470588232"/>
    <n v="1269752400"/>
    <x v="543"/>
    <d v="2010-03-28T05:00:00"/>
    <b v="0"/>
    <b v="0"/>
    <s v="publishing/translations"/>
    <x v="5"/>
    <s v="translations"/>
  </r>
  <r>
    <n v="586"/>
    <s v="Rowe-Wong"/>
    <s v="Robust hybrid budgetary management"/>
    <n v="700"/>
    <n v="6654"/>
    <x v="1"/>
    <n v="130"/>
    <s v="US"/>
    <s v="USD"/>
    <n v="950.57142857142856"/>
    <n v="1289973600"/>
    <n v="51.184615384615384"/>
    <n v="1291615200"/>
    <x v="544"/>
    <d v="2010-12-06T06:00:00"/>
    <b v="0"/>
    <b v="0"/>
    <s v="music/rock"/>
    <x v="1"/>
    <s v="rock"/>
  </r>
  <r>
    <n v="587"/>
    <s v="Williams-Santos"/>
    <s v="Open-source analyzing monitoring"/>
    <n v="9400"/>
    <n v="6852"/>
    <x v="0"/>
    <n v="156"/>
    <s v="CA"/>
    <s v="CAD"/>
    <n v="72.893617021276597"/>
    <n v="1547877600"/>
    <n v="43.92307692307692"/>
    <n v="1552366800"/>
    <x v="35"/>
    <d v="2019-03-12T05:00:00"/>
    <b v="0"/>
    <b v="1"/>
    <s v="food/food trucks"/>
    <x v="0"/>
    <s v="food trucks"/>
  </r>
  <r>
    <n v="588"/>
    <s v="Weber Inc"/>
    <s v="Up-sized discrete firmware"/>
    <n v="157600"/>
    <n v="124517"/>
    <x v="0"/>
    <n v="1368"/>
    <s v="GB"/>
    <s v="GBP"/>
    <n v="79.008248730964468"/>
    <n v="1269493200"/>
    <n v="91.021198830409361"/>
    <n v="1272171600"/>
    <x v="152"/>
    <d v="2010-04-25T05:00:00"/>
    <b v="0"/>
    <b v="0"/>
    <s v="theater/plays"/>
    <x v="3"/>
    <s v="plays"/>
  </r>
  <r>
    <n v="589"/>
    <s v="Avery, Brown and Parker"/>
    <s v="Exclusive intangible extranet"/>
    <n v="7900"/>
    <n v="5113"/>
    <x v="0"/>
    <n v="102"/>
    <s v="US"/>
    <s v="USD"/>
    <n v="64.721518987341781"/>
    <n v="1436072400"/>
    <n v="50.127450980392155"/>
    <n v="1436677200"/>
    <x v="545"/>
    <d v="2015-07-12T05:00:00"/>
    <b v="0"/>
    <b v="0"/>
    <s v="film &amp; video/documentary"/>
    <x v="4"/>
    <s v="documentary"/>
  </r>
  <r>
    <n v="590"/>
    <s v="Cox Group"/>
    <s v="Synergized analyzing process improvement"/>
    <n v="7100"/>
    <n v="5824"/>
    <x v="0"/>
    <n v="86"/>
    <s v="AU"/>
    <s v="AUD"/>
    <n v="82.028169014084511"/>
    <n v="1419141600"/>
    <n v="67.720930232558146"/>
    <n v="1420092000"/>
    <x v="546"/>
    <d v="2015-01-01T06:00:00"/>
    <b v="0"/>
    <b v="0"/>
    <s v="publishing/radio &amp; podcasts"/>
    <x v="5"/>
    <s v="radio &amp; podcasts"/>
  </r>
  <r>
    <n v="591"/>
    <s v="Jensen LLC"/>
    <s v="Realigned dedicated system engine"/>
    <n v="600"/>
    <n v="6226"/>
    <x v="1"/>
    <n v="102"/>
    <s v="US"/>
    <s v="USD"/>
    <n v="1037.6666666666667"/>
    <n v="1279083600"/>
    <n v="61.03921568627451"/>
    <n v="1279947600"/>
    <x v="547"/>
    <d v="2010-07-24T05:00:00"/>
    <b v="0"/>
    <b v="0"/>
    <s v="games/video games"/>
    <x v="6"/>
    <s v="video games"/>
  </r>
  <r>
    <n v="592"/>
    <s v="Brown Inc"/>
    <s v="Object-based bandwidth-monitored concept"/>
    <n v="156800"/>
    <n v="20243"/>
    <x v="0"/>
    <n v="253"/>
    <s v="US"/>
    <s v="USD"/>
    <n v="12.910076530612244"/>
    <n v="1401426000"/>
    <n v="80.011857707509876"/>
    <n v="1402203600"/>
    <x v="548"/>
    <d v="2014-06-08T05:00:00"/>
    <b v="0"/>
    <b v="0"/>
    <s v="theater/plays"/>
    <x v="3"/>
    <s v="plays"/>
  </r>
  <r>
    <n v="593"/>
    <s v="Hale-Hayes"/>
    <s v="Ameliorated client-driven open system"/>
    <n v="121600"/>
    <n v="188288"/>
    <x v="1"/>
    <n v="4006"/>
    <s v="US"/>
    <s v="USD"/>
    <n v="154.84210526315789"/>
    <n v="1395810000"/>
    <n v="47.001497753369947"/>
    <n v="1396933200"/>
    <x v="549"/>
    <d v="2014-04-08T05:00:00"/>
    <b v="0"/>
    <b v="0"/>
    <s v="film &amp; video/animation"/>
    <x v="4"/>
    <s v="animation"/>
  </r>
  <r>
    <n v="594"/>
    <s v="Mcbride PLC"/>
    <s v="Upgradable leadingedge Local Area Network"/>
    <n v="157300"/>
    <n v="11167"/>
    <x v="0"/>
    <n v="157"/>
    <s v="US"/>
    <s v="USD"/>
    <n v="7.0991735537190088"/>
    <n v="1467003600"/>
    <n v="71.127388535031841"/>
    <n v="1467262800"/>
    <x v="550"/>
    <d v="2016-06-30T05:00:00"/>
    <b v="0"/>
    <b v="1"/>
    <s v="theater/plays"/>
    <x v="3"/>
    <s v="plays"/>
  </r>
  <r>
    <n v="595"/>
    <s v="Harris-Jennings"/>
    <s v="Customizable intermediate data-warehouse"/>
    <n v="70300"/>
    <n v="146595"/>
    <x v="1"/>
    <n v="1629"/>
    <s v="US"/>
    <s v="USD"/>
    <n v="208.52773826458036"/>
    <n v="1268715600"/>
    <n v="89.99079189686924"/>
    <n v="1270530000"/>
    <x v="551"/>
    <d v="2010-04-06T05:00:00"/>
    <b v="0"/>
    <b v="1"/>
    <s v="theater/plays"/>
    <x v="3"/>
    <s v="plays"/>
  </r>
  <r>
    <n v="596"/>
    <s v="Becker-Scott"/>
    <s v="Managed optimizing archive"/>
    <n v="7900"/>
    <n v="7875"/>
    <x v="0"/>
    <n v="183"/>
    <s v="US"/>
    <s v="USD"/>
    <n v="99.683544303797461"/>
    <n v="1457157600"/>
    <n v="43.032786885245905"/>
    <n v="1457762400"/>
    <x v="552"/>
    <d v="2016-03-12T06:00:00"/>
    <b v="0"/>
    <b v="1"/>
    <s v="film &amp; video/drama"/>
    <x v="4"/>
    <s v="drama"/>
  </r>
  <r>
    <n v="597"/>
    <s v="Todd, Freeman and Henry"/>
    <s v="Diverse systematic projection"/>
    <n v="73800"/>
    <n v="148779"/>
    <x v="1"/>
    <n v="2188"/>
    <s v="US"/>
    <s v="USD"/>
    <n v="201.59756097560978"/>
    <n v="1573970400"/>
    <n v="67.997714808043881"/>
    <n v="1575525600"/>
    <x v="462"/>
    <d v="2019-12-05T06:00:00"/>
    <b v="0"/>
    <b v="0"/>
    <s v="theater/plays"/>
    <x v="3"/>
    <s v="plays"/>
  </r>
  <r>
    <n v="598"/>
    <s v="Martinez, Garza and Young"/>
    <s v="Up-sized web-enabled info-mediaries"/>
    <n v="108500"/>
    <n v="175868"/>
    <x v="1"/>
    <n v="2409"/>
    <s v="IT"/>
    <s v="EUR"/>
    <n v="162.09032258064516"/>
    <n v="1276578000"/>
    <n v="73.004566210045667"/>
    <n v="1279083600"/>
    <x v="553"/>
    <d v="2010-07-14T05:00:00"/>
    <b v="0"/>
    <b v="0"/>
    <s v="music/rock"/>
    <x v="1"/>
    <s v="rock"/>
  </r>
  <r>
    <n v="599"/>
    <s v="Smith-Ramos"/>
    <s v="Persevering optimizing Graphical User Interface"/>
    <n v="140300"/>
    <n v="5112"/>
    <x v="0"/>
    <n v="82"/>
    <s v="DK"/>
    <s v="DKK"/>
    <n v="3.6436208125445471"/>
    <n v="1423720800"/>
    <n v="62.341463414634148"/>
    <n v="1424412000"/>
    <x v="554"/>
    <d v="2015-02-20T06:00:00"/>
    <b v="0"/>
    <b v="0"/>
    <s v="film &amp; video/documentary"/>
    <x v="4"/>
    <s v="documentary"/>
  </r>
  <r>
    <n v="600"/>
    <s v="Brown-George"/>
    <s v="Cross-platform tertiary array"/>
    <n v="100"/>
    <n v="5"/>
    <x v="0"/>
    <n v="1"/>
    <s v="GB"/>
    <s v="GBP"/>
    <n v="5"/>
    <n v="1375160400"/>
    <n v="5"/>
    <n v="1376197200"/>
    <x v="555"/>
    <d v="2013-08-11T05:00:00"/>
    <b v="0"/>
    <b v="0"/>
    <s v="food/food trucks"/>
    <x v="0"/>
    <s v="food trucks"/>
  </r>
  <r>
    <n v="601"/>
    <s v="Waters and Sons"/>
    <s v="Inverse neutral structure"/>
    <n v="6300"/>
    <n v="13018"/>
    <x v="1"/>
    <n v="194"/>
    <s v="US"/>
    <s v="USD"/>
    <n v="206.63492063492063"/>
    <n v="1401426000"/>
    <n v="67.103092783505161"/>
    <n v="1402894800"/>
    <x v="548"/>
    <d v="2014-06-16T05:00:00"/>
    <b v="1"/>
    <b v="0"/>
    <s v="technology/wearables"/>
    <x v="2"/>
    <s v="wearables"/>
  </r>
  <r>
    <n v="602"/>
    <s v="Brown Ltd"/>
    <s v="Quality-focused system-worthy support"/>
    <n v="71100"/>
    <n v="91176"/>
    <x v="1"/>
    <n v="1140"/>
    <s v="US"/>
    <s v="USD"/>
    <n v="128.23628691983123"/>
    <n v="1433480400"/>
    <n v="79.978947368421046"/>
    <n v="1434430800"/>
    <x v="62"/>
    <d v="2015-06-16T05:00:00"/>
    <b v="0"/>
    <b v="0"/>
    <s v="theater/plays"/>
    <x v="3"/>
    <s v="plays"/>
  </r>
  <r>
    <n v="603"/>
    <s v="Christian, Yates and Greer"/>
    <s v="Vision-oriented 5thgeneration array"/>
    <n v="5300"/>
    <n v="6342"/>
    <x v="1"/>
    <n v="102"/>
    <s v="US"/>
    <s v="USD"/>
    <n v="119.66037735849055"/>
    <n v="1555563600"/>
    <n v="62.176470588235297"/>
    <n v="1557896400"/>
    <x v="556"/>
    <d v="2019-05-15T05:00:00"/>
    <b v="0"/>
    <b v="0"/>
    <s v="theater/plays"/>
    <x v="3"/>
    <s v="plays"/>
  </r>
  <r>
    <n v="604"/>
    <s v="Cole, Hernandez and Rodriguez"/>
    <s v="Cross-platform logistical circuit"/>
    <n v="88700"/>
    <n v="151438"/>
    <x v="1"/>
    <n v="2857"/>
    <s v="US"/>
    <s v="USD"/>
    <n v="170.73055242390078"/>
    <n v="1295676000"/>
    <n v="53.005950297514879"/>
    <n v="1297490400"/>
    <x v="557"/>
    <d v="2011-02-12T06:00:00"/>
    <b v="0"/>
    <b v="0"/>
    <s v="theater/plays"/>
    <x v="3"/>
    <s v="plays"/>
  </r>
  <r>
    <n v="605"/>
    <s v="Ortiz, Valenzuela and Collins"/>
    <s v="Profound solution-oriented matrix"/>
    <n v="3300"/>
    <n v="6178"/>
    <x v="1"/>
    <n v="107"/>
    <s v="US"/>
    <s v="USD"/>
    <n v="187.21212121212122"/>
    <n v="1443848400"/>
    <n v="57.738317757009348"/>
    <n v="1447394400"/>
    <x v="27"/>
    <d v="2015-11-13T06:00:00"/>
    <b v="0"/>
    <b v="0"/>
    <s v="publishing/nonfiction"/>
    <x v="5"/>
    <s v="nonfiction"/>
  </r>
  <r>
    <n v="606"/>
    <s v="Valencia PLC"/>
    <s v="Extended asynchronous initiative"/>
    <n v="3400"/>
    <n v="6405"/>
    <x v="1"/>
    <n v="160"/>
    <s v="GB"/>
    <s v="GBP"/>
    <n v="188.38235294117646"/>
    <n v="1457330400"/>
    <n v="40.03125"/>
    <n v="1458277200"/>
    <x v="558"/>
    <d v="2016-03-18T05:00:00"/>
    <b v="0"/>
    <b v="0"/>
    <s v="music/rock"/>
    <x v="1"/>
    <s v="rock"/>
  </r>
  <r>
    <n v="607"/>
    <s v="Gordon, Mendez and Johnson"/>
    <s v="Fundamental needs-based frame"/>
    <n v="137600"/>
    <n v="180667"/>
    <x v="1"/>
    <n v="2230"/>
    <s v="US"/>
    <s v="USD"/>
    <n v="131.29869186046511"/>
    <n v="1395550800"/>
    <n v="81.016591928251117"/>
    <n v="1395723600"/>
    <x v="559"/>
    <d v="2014-03-25T05:00:00"/>
    <b v="0"/>
    <b v="0"/>
    <s v="food/food trucks"/>
    <x v="0"/>
    <s v="food trucks"/>
  </r>
  <r>
    <n v="608"/>
    <s v="Johnson Group"/>
    <s v="Compatible full-range leverage"/>
    <n v="3900"/>
    <n v="11075"/>
    <x v="1"/>
    <n v="316"/>
    <s v="US"/>
    <s v="USD"/>
    <n v="283.97435897435901"/>
    <n v="1551852000"/>
    <n v="35.047468354430379"/>
    <n v="1552197600"/>
    <x v="426"/>
    <d v="2019-03-10T06:00:00"/>
    <b v="0"/>
    <b v="1"/>
    <s v="music/jazz"/>
    <x v="1"/>
    <s v="jazz"/>
  </r>
  <r>
    <n v="609"/>
    <s v="Rose-Fuller"/>
    <s v="Upgradable holistic system engine"/>
    <n v="10000"/>
    <n v="12042"/>
    <x v="1"/>
    <n v="117"/>
    <s v="US"/>
    <s v="USD"/>
    <n v="120.41999999999999"/>
    <n v="1547618400"/>
    <n v="102.92307692307692"/>
    <n v="1549087200"/>
    <x v="560"/>
    <d v="2019-02-02T06:00:00"/>
    <b v="0"/>
    <b v="0"/>
    <s v="film &amp; video/science fiction"/>
    <x v="4"/>
    <s v="science fiction"/>
  </r>
  <r>
    <n v="610"/>
    <s v="Hughes, Mendez and Patterson"/>
    <s v="Stand-alone multi-state data-warehouse"/>
    <n v="42800"/>
    <n v="179356"/>
    <x v="1"/>
    <n v="6406"/>
    <s v="US"/>
    <s v="USD"/>
    <n v="419.0560747663551"/>
    <n v="1355637600"/>
    <n v="27.998126756166094"/>
    <n v="1356847200"/>
    <x v="561"/>
    <d v="2012-12-30T06:00:00"/>
    <b v="0"/>
    <b v="0"/>
    <s v="theater/plays"/>
    <x v="3"/>
    <s v="plays"/>
  </r>
  <r>
    <n v="611"/>
    <s v="Brady, Cortez and Rodriguez"/>
    <s v="Multi-lateral maximized core"/>
    <n v="8200"/>
    <n v="1136"/>
    <x v="3"/>
    <n v="15"/>
    <s v="US"/>
    <s v="USD"/>
    <n v="13.853658536585368"/>
    <n v="1374728400"/>
    <n v="75.733333333333334"/>
    <n v="1375765200"/>
    <x v="562"/>
    <d v="2013-08-06T05:00:00"/>
    <b v="0"/>
    <b v="0"/>
    <s v="theater/plays"/>
    <x v="3"/>
    <s v="plays"/>
  </r>
  <r>
    <n v="612"/>
    <s v="Wang, Nguyen and Horton"/>
    <s v="Innovative holistic hub"/>
    <n v="6200"/>
    <n v="8645"/>
    <x v="1"/>
    <n v="192"/>
    <s v="US"/>
    <s v="USD"/>
    <n v="139.43548387096774"/>
    <n v="1287810000"/>
    <n v="45.026041666666664"/>
    <n v="1289800800"/>
    <x v="563"/>
    <d v="2010-11-15T06:00:00"/>
    <b v="0"/>
    <b v="0"/>
    <s v="music/electric music"/>
    <x v="1"/>
    <s v="electric music"/>
  </r>
  <r>
    <n v="613"/>
    <s v="Santos, Williams and Brown"/>
    <s v="Reverse-engineered 24/7 methodology"/>
    <n v="1100"/>
    <n v="1914"/>
    <x v="1"/>
    <n v="26"/>
    <s v="CA"/>
    <s v="CAD"/>
    <n v="174"/>
    <n v="1503723600"/>
    <n v="73.615384615384613"/>
    <n v="1504501200"/>
    <x v="564"/>
    <d v="2017-09-04T05:00:00"/>
    <b v="0"/>
    <b v="0"/>
    <s v="theater/plays"/>
    <x v="3"/>
    <s v="plays"/>
  </r>
  <r>
    <n v="614"/>
    <s v="Barnett and Sons"/>
    <s v="Business-focused dynamic info-mediaries"/>
    <n v="26500"/>
    <n v="41205"/>
    <x v="1"/>
    <n v="723"/>
    <s v="US"/>
    <s v="USD"/>
    <n v="155.49056603773585"/>
    <n v="1484114400"/>
    <n v="56.991701244813278"/>
    <n v="1485669600"/>
    <x v="565"/>
    <d v="2017-01-29T06:00:00"/>
    <b v="0"/>
    <b v="0"/>
    <s v="theater/plays"/>
    <x v="3"/>
    <s v="plays"/>
  </r>
  <r>
    <n v="615"/>
    <s v="Petersen-Rodriguez"/>
    <s v="Digitized clear-thinking installation"/>
    <n v="8500"/>
    <n v="14488"/>
    <x v="1"/>
    <n v="170"/>
    <s v="IT"/>
    <s v="EUR"/>
    <n v="170.44705882352943"/>
    <n v="1461906000"/>
    <n v="85.223529411764702"/>
    <n v="1462770000"/>
    <x v="566"/>
    <d v="2016-05-09T05:00:00"/>
    <b v="0"/>
    <b v="0"/>
    <s v="theater/plays"/>
    <x v="3"/>
    <s v="plays"/>
  </r>
  <r>
    <n v="616"/>
    <s v="Burnett-Mora"/>
    <s v="Quality-focused 24/7 superstructure"/>
    <n v="6400"/>
    <n v="12129"/>
    <x v="1"/>
    <n v="238"/>
    <s v="GB"/>
    <s v="GBP"/>
    <n v="189.515625"/>
    <n v="1379653200"/>
    <n v="50.962184873949582"/>
    <n v="1379739600"/>
    <x v="567"/>
    <d v="2013-09-21T05:00:00"/>
    <b v="0"/>
    <b v="1"/>
    <s v="music/indie rock"/>
    <x v="1"/>
    <s v="indie rock"/>
  </r>
  <r>
    <n v="617"/>
    <s v="King LLC"/>
    <s v="Multi-channeled local intranet"/>
    <n v="1400"/>
    <n v="3496"/>
    <x v="1"/>
    <n v="55"/>
    <s v="US"/>
    <s v="USD"/>
    <n v="249.71428571428572"/>
    <n v="1401858000"/>
    <n v="63.563636363636363"/>
    <n v="1402722000"/>
    <x v="568"/>
    <d v="2014-06-14T05:00:00"/>
    <b v="0"/>
    <b v="0"/>
    <s v="theater/plays"/>
    <x v="3"/>
    <s v="plays"/>
  </r>
  <r>
    <n v="618"/>
    <s v="Miller Ltd"/>
    <s v="Open-architected mobile emulation"/>
    <n v="198600"/>
    <n v="97037"/>
    <x v="0"/>
    <n v="1198"/>
    <s v="US"/>
    <s v="USD"/>
    <n v="48.860523665659613"/>
    <n v="1367470800"/>
    <n v="80.999165275459092"/>
    <n v="1369285200"/>
    <x v="569"/>
    <d v="2013-05-23T05:00:00"/>
    <b v="0"/>
    <b v="0"/>
    <s v="publishing/nonfiction"/>
    <x v="5"/>
    <s v="nonfiction"/>
  </r>
  <r>
    <n v="619"/>
    <s v="Case LLC"/>
    <s v="Ameliorated foreground methodology"/>
    <n v="195900"/>
    <n v="55757"/>
    <x v="0"/>
    <n v="648"/>
    <s v="US"/>
    <s v="USD"/>
    <n v="28.461970393057683"/>
    <n v="1304658000"/>
    <n v="86.044753086419746"/>
    <n v="1304744400"/>
    <x v="570"/>
    <d v="2011-05-07T05:00:00"/>
    <b v="1"/>
    <b v="1"/>
    <s v="theater/plays"/>
    <x v="3"/>
    <s v="plays"/>
  </r>
  <r>
    <n v="620"/>
    <s v="Swanson, Wilson and Baker"/>
    <s v="Synergized well-modulated project"/>
    <n v="4300"/>
    <n v="11525"/>
    <x v="1"/>
    <n v="128"/>
    <s v="AU"/>
    <s v="AUD"/>
    <n v="268.02325581395348"/>
    <n v="1467954000"/>
    <n v="90.0390625"/>
    <n v="1468299600"/>
    <x v="571"/>
    <d v="2016-07-12T05:00:00"/>
    <b v="0"/>
    <b v="0"/>
    <s v="photography/photography books"/>
    <x v="7"/>
    <s v="photography books"/>
  </r>
  <r>
    <n v="621"/>
    <s v="Dean, Fox and Phillips"/>
    <s v="Extended context-sensitive forecast"/>
    <n v="25600"/>
    <n v="158669"/>
    <x v="1"/>
    <n v="2144"/>
    <s v="US"/>
    <s v="USD"/>
    <n v="619.80078125"/>
    <n v="1473742800"/>
    <n v="74.006063432835816"/>
    <n v="1474174800"/>
    <x v="572"/>
    <d v="2016-09-18T05:00:00"/>
    <b v="0"/>
    <b v="0"/>
    <s v="theater/plays"/>
    <x v="3"/>
    <s v="plays"/>
  </r>
  <r>
    <n v="622"/>
    <s v="Smith-Smith"/>
    <s v="Total leadingedge neural-net"/>
    <n v="189000"/>
    <n v="5916"/>
    <x v="0"/>
    <n v="64"/>
    <s v="US"/>
    <s v="USD"/>
    <n v="3.1301587301587301"/>
    <n v="1523768400"/>
    <n v="92.4375"/>
    <n v="1526014800"/>
    <x v="573"/>
    <d v="2018-05-11T05:00:00"/>
    <b v="0"/>
    <b v="0"/>
    <s v="music/indie rock"/>
    <x v="1"/>
    <s v="indie rock"/>
  </r>
  <r>
    <n v="623"/>
    <s v="Smith, Scott and Rodriguez"/>
    <s v="Organic actuating protocol"/>
    <n v="94300"/>
    <n v="150806"/>
    <x v="1"/>
    <n v="2693"/>
    <s v="GB"/>
    <s v="GBP"/>
    <n v="159.92152704135739"/>
    <n v="1437022800"/>
    <n v="55.999257333828446"/>
    <n v="1437454800"/>
    <x v="574"/>
    <d v="2015-07-21T05:00:00"/>
    <b v="0"/>
    <b v="0"/>
    <s v="theater/plays"/>
    <x v="3"/>
    <s v="plays"/>
  </r>
  <r>
    <n v="624"/>
    <s v="White, Robertson and Roberts"/>
    <s v="Down-sized national software"/>
    <n v="5100"/>
    <n v="14249"/>
    <x v="1"/>
    <n v="432"/>
    <s v="US"/>
    <s v="USD"/>
    <n v="279.39215686274508"/>
    <n v="1422165600"/>
    <n v="32.983796296296298"/>
    <n v="1422684000"/>
    <x v="511"/>
    <d v="2015-01-31T06:00:00"/>
    <b v="0"/>
    <b v="0"/>
    <s v="photography/photography books"/>
    <x v="7"/>
    <s v="photography books"/>
  </r>
  <r>
    <n v="625"/>
    <s v="Martinez Inc"/>
    <s v="Organic upward-trending Graphical User Interface"/>
    <n v="7500"/>
    <n v="5803"/>
    <x v="0"/>
    <n v="62"/>
    <s v="US"/>
    <s v="USD"/>
    <n v="77.373333333333335"/>
    <n v="1580104800"/>
    <n v="93.596774193548384"/>
    <n v="1581314400"/>
    <x v="575"/>
    <d v="2020-02-10T06:00:00"/>
    <b v="0"/>
    <b v="0"/>
    <s v="theater/plays"/>
    <x v="3"/>
    <s v="plays"/>
  </r>
  <r>
    <n v="626"/>
    <s v="Tucker, Mccoy and Marquez"/>
    <s v="Synergistic tertiary budgetary management"/>
    <n v="6400"/>
    <n v="13205"/>
    <x v="1"/>
    <n v="189"/>
    <s v="US"/>
    <s v="USD"/>
    <n v="206.32812500000003"/>
    <n v="1285650000"/>
    <n v="69.867724867724874"/>
    <n v="1286427600"/>
    <x v="576"/>
    <d v="2010-10-07T05:00:00"/>
    <b v="0"/>
    <b v="1"/>
    <s v="theater/plays"/>
    <x v="3"/>
    <s v="plays"/>
  </r>
  <r>
    <n v="627"/>
    <s v="Martin, Lee and Armstrong"/>
    <s v="Open-architected incremental ability"/>
    <n v="1600"/>
    <n v="11108"/>
    <x v="1"/>
    <n v="154"/>
    <s v="GB"/>
    <s v="GBP"/>
    <n v="694.25"/>
    <n v="1276664400"/>
    <n v="72.129870129870127"/>
    <n v="1278738000"/>
    <x v="577"/>
    <d v="2010-07-10T05:00:00"/>
    <b v="1"/>
    <b v="0"/>
    <s v="food/food trucks"/>
    <x v="0"/>
    <s v="food trucks"/>
  </r>
  <r>
    <n v="628"/>
    <s v="Dunn, Moreno and Green"/>
    <s v="Intuitive object-oriented task-force"/>
    <n v="1900"/>
    <n v="2884"/>
    <x v="1"/>
    <n v="96"/>
    <s v="US"/>
    <s v="USD"/>
    <n v="151.78947368421052"/>
    <n v="1286168400"/>
    <n v="30.041666666666668"/>
    <n v="1286427600"/>
    <x v="578"/>
    <d v="2010-10-07T05:00:00"/>
    <b v="0"/>
    <b v="0"/>
    <s v="music/indie rock"/>
    <x v="1"/>
    <s v="indie rock"/>
  </r>
  <r>
    <n v="629"/>
    <s v="Jackson, Martinez and Ray"/>
    <s v="Multi-tiered executive toolset"/>
    <n v="85900"/>
    <n v="55476"/>
    <x v="0"/>
    <n v="750"/>
    <s v="US"/>
    <s v="USD"/>
    <n v="64.58207217694995"/>
    <n v="1467781200"/>
    <n v="73.968000000000004"/>
    <n v="1467954000"/>
    <x v="579"/>
    <d v="2016-07-08T05:00:00"/>
    <b v="0"/>
    <b v="1"/>
    <s v="theater/plays"/>
    <x v="3"/>
    <s v="plays"/>
  </r>
  <r>
    <n v="630"/>
    <s v="Patterson-Johnson"/>
    <s v="Grass-roots directional workforce"/>
    <n v="9500"/>
    <n v="5973"/>
    <x v="3"/>
    <n v="87"/>
    <s v="US"/>
    <s v="USD"/>
    <n v="62.873684210526314"/>
    <n v="1556686800"/>
    <n v="68.65517241379311"/>
    <n v="1557637200"/>
    <x v="580"/>
    <d v="2019-05-12T05:00:00"/>
    <b v="0"/>
    <b v="1"/>
    <s v="theater/plays"/>
    <x v="3"/>
    <s v="plays"/>
  </r>
  <r>
    <n v="631"/>
    <s v="Carlson-Hernandez"/>
    <s v="Quality-focused real-time solution"/>
    <n v="59200"/>
    <n v="183756"/>
    <x v="1"/>
    <n v="3063"/>
    <s v="US"/>
    <s v="USD"/>
    <n v="310.39864864864865"/>
    <n v="1553576400"/>
    <n v="59.992164544564154"/>
    <n v="1553922000"/>
    <x v="581"/>
    <d v="2019-03-30T05:00:00"/>
    <b v="0"/>
    <b v="0"/>
    <s v="theater/plays"/>
    <x v="3"/>
    <s v="plays"/>
  </r>
  <r>
    <n v="632"/>
    <s v="Parker PLC"/>
    <s v="Reduced interactive matrix"/>
    <n v="72100"/>
    <n v="30902"/>
    <x v="2"/>
    <n v="278"/>
    <s v="US"/>
    <s v="USD"/>
    <n v="42.859916782246884"/>
    <n v="1414904400"/>
    <n v="111.15827338129496"/>
    <n v="1416463200"/>
    <x v="582"/>
    <d v="2014-11-20T06:00:00"/>
    <b v="0"/>
    <b v="0"/>
    <s v="theater/plays"/>
    <x v="3"/>
    <s v="plays"/>
  </r>
  <r>
    <n v="633"/>
    <s v="Yu and Sons"/>
    <s v="Adaptive context-sensitive architecture"/>
    <n v="6700"/>
    <n v="5569"/>
    <x v="0"/>
    <n v="105"/>
    <s v="US"/>
    <s v="USD"/>
    <n v="83.119402985074629"/>
    <n v="1446876000"/>
    <n v="53.038095238095238"/>
    <n v="1447221600"/>
    <x v="336"/>
    <d v="2015-11-11T06:00:00"/>
    <b v="0"/>
    <b v="0"/>
    <s v="film &amp; video/animation"/>
    <x v="4"/>
    <s v="animation"/>
  </r>
  <r>
    <n v="634"/>
    <s v="Taylor, Johnson and Hernandez"/>
    <s v="Polarized incremental portal"/>
    <n v="118200"/>
    <n v="92824"/>
    <x v="3"/>
    <n v="1658"/>
    <s v="US"/>
    <s v="USD"/>
    <n v="78.531302876480552"/>
    <n v="1490418000"/>
    <n v="55.985524728588658"/>
    <n v="1491627600"/>
    <x v="583"/>
    <d v="2017-04-08T05:00:00"/>
    <b v="0"/>
    <b v="0"/>
    <s v="film &amp; video/television"/>
    <x v="4"/>
    <s v="television"/>
  </r>
  <r>
    <n v="635"/>
    <s v="Mack Ltd"/>
    <s v="Reactive regional access"/>
    <n v="139000"/>
    <n v="158590"/>
    <x v="1"/>
    <n v="2266"/>
    <s v="US"/>
    <s v="USD"/>
    <n v="114.09352517985612"/>
    <n v="1360389600"/>
    <n v="69.986760812003524"/>
    <n v="1363150800"/>
    <x v="584"/>
    <d v="2013-03-13T05:00:00"/>
    <b v="0"/>
    <b v="0"/>
    <s v="film &amp; video/television"/>
    <x v="4"/>
    <s v="television"/>
  </r>
  <r>
    <n v="636"/>
    <s v="Lamb-Sanders"/>
    <s v="Stand-alone reciprocal frame"/>
    <n v="197700"/>
    <n v="127591"/>
    <x v="0"/>
    <n v="2604"/>
    <s v="DK"/>
    <s v="DKK"/>
    <n v="64.537683358624179"/>
    <n v="1326866400"/>
    <n v="48.998079877112133"/>
    <n v="1330754400"/>
    <x v="585"/>
    <d v="2012-03-03T06:00:00"/>
    <b v="0"/>
    <b v="1"/>
    <s v="film &amp; video/animation"/>
    <x v="4"/>
    <s v="animation"/>
  </r>
  <r>
    <n v="637"/>
    <s v="Williams-Ramirez"/>
    <s v="Open-architected 24/7 throughput"/>
    <n v="8500"/>
    <n v="6750"/>
    <x v="0"/>
    <n v="65"/>
    <s v="US"/>
    <s v="USD"/>
    <n v="79.411764705882348"/>
    <n v="1479103200"/>
    <n v="103.84615384615384"/>
    <n v="1479794400"/>
    <x v="586"/>
    <d v="2016-11-22T06:00:00"/>
    <b v="0"/>
    <b v="0"/>
    <s v="theater/plays"/>
    <x v="3"/>
    <s v="plays"/>
  </r>
  <r>
    <n v="638"/>
    <s v="Weaver Ltd"/>
    <s v="Monitored 24/7 approach"/>
    <n v="81600"/>
    <n v="9318"/>
    <x v="0"/>
    <n v="94"/>
    <s v="US"/>
    <s v="USD"/>
    <n v="11.419117647058824"/>
    <n v="1280206800"/>
    <n v="99.127659574468083"/>
    <n v="1281243600"/>
    <x v="587"/>
    <d v="2010-08-08T05:00:00"/>
    <b v="0"/>
    <b v="1"/>
    <s v="theater/plays"/>
    <x v="3"/>
    <s v="plays"/>
  </r>
  <r>
    <n v="639"/>
    <s v="Barnes-Williams"/>
    <s v="Upgradable explicit forecast"/>
    <n v="8600"/>
    <n v="4832"/>
    <x v="2"/>
    <n v="45"/>
    <s v="US"/>
    <s v="USD"/>
    <n v="56.186046511627907"/>
    <n v="1532754000"/>
    <n v="107.37777777777778"/>
    <n v="1532754000"/>
    <x v="588"/>
    <d v="2018-07-28T05:00:00"/>
    <b v="0"/>
    <b v="1"/>
    <s v="film &amp; video/drama"/>
    <x v="4"/>
    <s v="drama"/>
  </r>
  <r>
    <n v="640"/>
    <s v="Richardson, Woodward and Hansen"/>
    <s v="Pre-emptive context-sensitive support"/>
    <n v="119800"/>
    <n v="19769"/>
    <x v="0"/>
    <n v="257"/>
    <s v="US"/>
    <s v="USD"/>
    <n v="16.501669449081803"/>
    <n v="1453096800"/>
    <n v="76.922178988326849"/>
    <n v="1453356000"/>
    <x v="589"/>
    <d v="2016-01-21T06:00:00"/>
    <b v="0"/>
    <b v="0"/>
    <s v="theater/plays"/>
    <x v="3"/>
    <s v="plays"/>
  </r>
  <r>
    <n v="641"/>
    <s v="Hunt, Barker and Baker"/>
    <s v="Business-focused leadingedge instruction set"/>
    <n v="9400"/>
    <n v="11277"/>
    <x v="1"/>
    <n v="194"/>
    <s v="CH"/>
    <s v="CHF"/>
    <n v="119.96808510638297"/>
    <n v="1487570400"/>
    <n v="58.128865979381445"/>
    <n v="1489986000"/>
    <x v="590"/>
    <d v="2017-03-20T05:00:00"/>
    <b v="0"/>
    <b v="0"/>
    <s v="theater/plays"/>
    <x v="3"/>
    <s v="plays"/>
  </r>
  <r>
    <n v="642"/>
    <s v="Ramos, Moreno and Lewis"/>
    <s v="Extended multi-state knowledge user"/>
    <n v="9200"/>
    <n v="13382"/>
    <x v="1"/>
    <n v="129"/>
    <s v="CA"/>
    <s v="CAD"/>
    <n v="145.45652173913044"/>
    <n v="1545026400"/>
    <n v="103.73643410852713"/>
    <n v="1545804000"/>
    <x v="591"/>
    <d v="2018-12-26T06:00:00"/>
    <b v="0"/>
    <b v="0"/>
    <s v="technology/wearables"/>
    <x v="2"/>
    <s v="wearables"/>
  </r>
  <r>
    <n v="643"/>
    <s v="Harris Inc"/>
    <s v="Future-proofed modular groupware"/>
    <n v="14900"/>
    <n v="32986"/>
    <x v="1"/>
    <n v="375"/>
    <s v="US"/>
    <s v="USD"/>
    <n v="221.38255033557047"/>
    <n v="1488348000"/>
    <n v="87.962666666666664"/>
    <n v="1489899600"/>
    <x v="592"/>
    <d v="2017-03-19T05:00:00"/>
    <b v="0"/>
    <b v="0"/>
    <s v="theater/plays"/>
    <x v="3"/>
    <s v="plays"/>
  </r>
  <r>
    <n v="644"/>
    <s v="Peters-Nelson"/>
    <s v="Distributed real-time algorithm"/>
    <n v="169400"/>
    <n v="81984"/>
    <x v="0"/>
    <n v="2928"/>
    <s v="CA"/>
    <s v="CAD"/>
    <n v="48.396694214876035"/>
    <n v="1545112800"/>
    <n v="28"/>
    <n v="1546495200"/>
    <x v="593"/>
    <d v="2019-01-03T06:00:00"/>
    <b v="0"/>
    <b v="0"/>
    <s v="theater/plays"/>
    <x v="3"/>
    <s v="plays"/>
  </r>
  <r>
    <n v="645"/>
    <s v="Ferguson, Murphy and Bright"/>
    <s v="Multi-lateral heuristic throughput"/>
    <n v="192100"/>
    <n v="178483"/>
    <x v="0"/>
    <n v="4697"/>
    <s v="US"/>
    <s v="USD"/>
    <n v="92.911504424778755"/>
    <n v="1537938000"/>
    <n v="37.999361294443261"/>
    <n v="1539752400"/>
    <x v="594"/>
    <d v="2018-10-17T05:00:00"/>
    <b v="0"/>
    <b v="1"/>
    <s v="music/rock"/>
    <x v="1"/>
    <s v="rock"/>
  </r>
  <r>
    <n v="646"/>
    <s v="Robinson Group"/>
    <s v="Switchable reciprocal middleware"/>
    <n v="98700"/>
    <n v="87448"/>
    <x v="0"/>
    <n v="2915"/>
    <s v="US"/>
    <s v="USD"/>
    <n v="88.599797365754824"/>
    <n v="1363150800"/>
    <n v="29.999313893653515"/>
    <n v="1364101200"/>
    <x v="595"/>
    <d v="2013-03-24T05:00:00"/>
    <b v="0"/>
    <b v="0"/>
    <s v="games/video games"/>
    <x v="6"/>
    <s v="video games"/>
  </r>
  <r>
    <n v="647"/>
    <s v="Jordan-Wolfe"/>
    <s v="Inverse multimedia Graphic Interface"/>
    <n v="4500"/>
    <n v="1863"/>
    <x v="0"/>
    <n v="18"/>
    <s v="US"/>
    <s v="USD"/>
    <n v="41.4"/>
    <n v="1523250000"/>
    <n v="103.5"/>
    <n v="1525323600"/>
    <x v="596"/>
    <d v="2018-05-03T05:00:00"/>
    <b v="0"/>
    <b v="0"/>
    <s v="publishing/translations"/>
    <x v="5"/>
    <s v="translations"/>
  </r>
  <r>
    <n v="648"/>
    <s v="Vargas-Cox"/>
    <s v="Vision-oriented local contingency"/>
    <n v="98600"/>
    <n v="62174"/>
    <x v="3"/>
    <n v="723"/>
    <s v="US"/>
    <s v="USD"/>
    <n v="63.056795131845846"/>
    <n v="1499317200"/>
    <n v="85.994467496542185"/>
    <n v="1500872400"/>
    <x v="597"/>
    <d v="2017-07-24T05:00:00"/>
    <b v="1"/>
    <b v="0"/>
    <s v="food/food trucks"/>
    <x v="0"/>
    <s v="food trucks"/>
  </r>
  <r>
    <n v="649"/>
    <s v="Yang and Sons"/>
    <s v="Reactive 6thgeneration hub"/>
    <n v="121700"/>
    <n v="59003"/>
    <x v="0"/>
    <n v="602"/>
    <s v="CH"/>
    <s v="CHF"/>
    <n v="48.482333607230892"/>
    <n v="1287550800"/>
    <n v="98.011627906976742"/>
    <n v="1288501200"/>
    <x v="598"/>
    <d v="2010-10-31T05:00:00"/>
    <b v="1"/>
    <b v="1"/>
    <s v="theater/plays"/>
    <x v="3"/>
    <s v="plays"/>
  </r>
  <r>
    <n v="650"/>
    <s v="Wilson, Wilson and Mathis"/>
    <s v="Optional asymmetric success"/>
    <n v="100"/>
    <n v="2"/>
    <x v="0"/>
    <n v="1"/>
    <s v="US"/>
    <s v="USD"/>
    <n v="2"/>
    <n v="1404795600"/>
    <n v="2"/>
    <n v="1407128400"/>
    <x v="599"/>
    <d v="2014-08-04T05:00:00"/>
    <b v="0"/>
    <b v="0"/>
    <s v="music/jazz"/>
    <x v="1"/>
    <s v="jazz"/>
  </r>
  <r>
    <n v="651"/>
    <s v="Wang, Koch and Weaver"/>
    <s v="Digitized analyzing capacity"/>
    <n v="196700"/>
    <n v="174039"/>
    <x v="0"/>
    <n v="3868"/>
    <s v="IT"/>
    <s v="EUR"/>
    <n v="88.47941026944585"/>
    <n v="1393048800"/>
    <n v="44.994570837642193"/>
    <n v="1394344800"/>
    <x v="600"/>
    <d v="2014-03-09T06:00:00"/>
    <b v="0"/>
    <b v="0"/>
    <s v="film &amp; video/shorts"/>
    <x v="4"/>
    <s v="shorts"/>
  </r>
  <r>
    <n v="652"/>
    <s v="Cisneros Ltd"/>
    <s v="Vision-oriented regional hub"/>
    <n v="10000"/>
    <n v="12684"/>
    <x v="1"/>
    <n v="409"/>
    <s v="US"/>
    <s v="USD"/>
    <n v="126.84"/>
    <n v="1470373200"/>
    <n v="31.012224938875306"/>
    <n v="1474088400"/>
    <x v="601"/>
    <d v="2016-09-17T05:00:00"/>
    <b v="0"/>
    <b v="0"/>
    <s v="technology/web"/>
    <x v="2"/>
    <s v="web"/>
  </r>
  <r>
    <n v="653"/>
    <s v="Williams-Jones"/>
    <s v="Monitored incremental info-mediaries"/>
    <n v="600"/>
    <n v="14033"/>
    <x v="1"/>
    <n v="234"/>
    <s v="US"/>
    <s v="USD"/>
    <n v="2338.833333333333"/>
    <n v="1460091600"/>
    <n v="59.970085470085472"/>
    <n v="1460264400"/>
    <x v="602"/>
    <d v="2016-04-10T05:00:00"/>
    <b v="0"/>
    <b v="0"/>
    <s v="technology/web"/>
    <x v="2"/>
    <s v="web"/>
  </r>
  <r>
    <n v="654"/>
    <s v="Roberts, Hinton and Williams"/>
    <s v="Programmable static middleware"/>
    <n v="35000"/>
    <n v="177936"/>
    <x v="1"/>
    <n v="3016"/>
    <s v="US"/>
    <s v="USD"/>
    <n v="508.38857142857148"/>
    <n v="1440392400"/>
    <n v="58.9973474801061"/>
    <n v="1440824400"/>
    <x v="335"/>
    <d v="2015-08-29T05:00:00"/>
    <b v="0"/>
    <b v="0"/>
    <s v="music/metal"/>
    <x v="1"/>
    <s v="metal"/>
  </r>
  <r>
    <n v="655"/>
    <s v="Gonzalez, Williams and Benson"/>
    <s v="Multi-layered bottom-line encryption"/>
    <n v="6900"/>
    <n v="13212"/>
    <x v="1"/>
    <n v="264"/>
    <s v="US"/>
    <s v="USD"/>
    <n v="191.47826086956522"/>
    <n v="1488434400"/>
    <n v="50.045454545454547"/>
    <n v="1489554000"/>
    <x v="603"/>
    <d v="2017-03-15T05:00:00"/>
    <b v="1"/>
    <b v="0"/>
    <s v="photography/photography books"/>
    <x v="7"/>
    <s v="photography books"/>
  </r>
  <r>
    <n v="656"/>
    <s v="Hobbs, Brown and Lee"/>
    <s v="Vision-oriented systematic Graphical User Interface"/>
    <n v="118400"/>
    <n v="49879"/>
    <x v="0"/>
    <n v="504"/>
    <s v="AU"/>
    <s v="AUD"/>
    <n v="42.127533783783782"/>
    <n v="1514440800"/>
    <n v="98.966269841269835"/>
    <n v="1514872800"/>
    <x v="604"/>
    <d v="2018-01-02T06:00:00"/>
    <b v="0"/>
    <b v="0"/>
    <s v="food/food trucks"/>
    <x v="0"/>
    <s v="food trucks"/>
  </r>
  <r>
    <n v="657"/>
    <s v="Russo, Kim and Mccoy"/>
    <s v="Balanced optimal hardware"/>
    <n v="10000"/>
    <n v="824"/>
    <x v="0"/>
    <n v="14"/>
    <s v="US"/>
    <s v="USD"/>
    <n v="8.24"/>
    <n v="1514354400"/>
    <n v="58.857142857142854"/>
    <n v="1515736800"/>
    <x v="605"/>
    <d v="2018-01-12T06:00:00"/>
    <b v="0"/>
    <b v="0"/>
    <s v="film &amp; video/science fiction"/>
    <x v="4"/>
    <s v="science fiction"/>
  </r>
  <r>
    <n v="658"/>
    <s v="Howell, Myers and Olson"/>
    <s v="Self-enabling mission-critical success"/>
    <n v="52600"/>
    <n v="31594"/>
    <x v="3"/>
    <n v="390"/>
    <s v="US"/>
    <s v="USD"/>
    <n v="60.064638783269963"/>
    <n v="1440910800"/>
    <n v="81.010256410256417"/>
    <n v="1442898000"/>
    <x v="606"/>
    <d v="2015-09-22T05:00:00"/>
    <b v="0"/>
    <b v="0"/>
    <s v="music/rock"/>
    <x v="1"/>
    <s v="rock"/>
  </r>
  <r>
    <n v="659"/>
    <s v="Bailey and Sons"/>
    <s v="Grass-roots dynamic emulation"/>
    <n v="120700"/>
    <n v="57010"/>
    <x v="0"/>
    <n v="750"/>
    <s v="GB"/>
    <s v="GBP"/>
    <n v="47.232808616404313"/>
    <n v="1296108000"/>
    <n v="76.013333333333335"/>
    <n v="1296194400"/>
    <x v="65"/>
    <d v="2011-01-28T06:00:00"/>
    <b v="0"/>
    <b v="0"/>
    <s v="film &amp; video/documentary"/>
    <x v="4"/>
    <s v="documentary"/>
  </r>
  <r>
    <n v="660"/>
    <s v="Jensen-Brown"/>
    <s v="Fundamental disintermediate matrix"/>
    <n v="9100"/>
    <n v="7438"/>
    <x v="0"/>
    <n v="77"/>
    <s v="US"/>
    <s v="USD"/>
    <n v="81.736263736263737"/>
    <n v="1440133200"/>
    <n v="96.597402597402592"/>
    <n v="1440910800"/>
    <x v="607"/>
    <d v="2015-08-30T05:00:00"/>
    <b v="1"/>
    <b v="0"/>
    <s v="theater/plays"/>
    <x v="3"/>
    <s v="plays"/>
  </r>
  <r>
    <n v="661"/>
    <s v="Smith Group"/>
    <s v="Right-sized secondary challenge"/>
    <n v="106800"/>
    <n v="57872"/>
    <x v="0"/>
    <n v="752"/>
    <s v="DK"/>
    <s v="DKK"/>
    <n v="54.187265917603"/>
    <n v="1332910800"/>
    <n v="76.957446808510639"/>
    <n v="1335502800"/>
    <x v="608"/>
    <d v="2012-04-27T05:00:00"/>
    <b v="0"/>
    <b v="0"/>
    <s v="music/jazz"/>
    <x v="1"/>
    <s v="jazz"/>
  </r>
  <r>
    <n v="662"/>
    <s v="Murphy-Farrell"/>
    <s v="Implemented exuding software"/>
    <n v="9100"/>
    <n v="8906"/>
    <x v="0"/>
    <n v="131"/>
    <s v="US"/>
    <s v="USD"/>
    <n v="97.868131868131869"/>
    <n v="1544335200"/>
    <n v="67.984732824427482"/>
    <n v="1544680800"/>
    <x v="609"/>
    <d v="2018-12-13T06:00:00"/>
    <b v="0"/>
    <b v="0"/>
    <s v="theater/plays"/>
    <x v="3"/>
    <s v="plays"/>
  </r>
  <r>
    <n v="663"/>
    <s v="Everett-Wolfe"/>
    <s v="Total optimizing software"/>
    <n v="10000"/>
    <n v="7724"/>
    <x v="0"/>
    <n v="87"/>
    <s v="US"/>
    <s v="USD"/>
    <n v="77.239999999999995"/>
    <n v="1286427600"/>
    <n v="88.781609195402297"/>
    <n v="1288414800"/>
    <x v="610"/>
    <d v="2010-10-30T05:00:00"/>
    <b v="0"/>
    <b v="0"/>
    <s v="theater/plays"/>
    <x v="3"/>
    <s v="plays"/>
  </r>
  <r>
    <n v="664"/>
    <s v="Young PLC"/>
    <s v="Optional maximized attitude"/>
    <n v="79400"/>
    <n v="26571"/>
    <x v="0"/>
    <n v="1063"/>
    <s v="US"/>
    <s v="USD"/>
    <n v="33.464735516372798"/>
    <n v="1329717600"/>
    <n v="24.99623706491063"/>
    <n v="1330581600"/>
    <x v="541"/>
    <d v="2012-03-01T06:00:00"/>
    <b v="0"/>
    <b v="0"/>
    <s v="music/jazz"/>
    <x v="1"/>
    <s v="jazz"/>
  </r>
  <r>
    <n v="665"/>
    <s v="Park-Goodman"/>
    <s v="Customer-focused impactful extranet"/>
    <n v="5100"/>
    <n v="12219"/>
    <x v="1"/>
    <n v="272"/>
    <s v="US"/>
    <s v="USD"/>
    <n v="239.58823529411765"/>
    <n v="1310187600"/>
    <n v="44.922794117647058"/>
    <n v="1311397200"/>
    <x v="611"/>
    <d v="2011-07-23T05:00:00"/>
    <b v="0"/>
    <b v="1"/>
    <s v="film &amp; video/documentary"/>
    <x v="4"/>
    <s v="documentary"/>
  </r>
  <r>
    <n v="666"/>
    <s v="York, Barr and Grant"/>
    <s v="Cloned bottom-line success"/>
    <n v="3100"/>
    <n v="1985"/>
    <x v="3"/>
    <n v="25"/>
    <s v="US"/>
    <s v="USD"/>
    <n v="64.032258064516128"/>
    <n v="1377838800"/>
    <n v="79.400000000000006"/>
    <n v="1378357200"/>
    <x v="612"/>
    <d v="2013-09-05T05:00:00"/>
    <b v="0"/>
    <b v="1"/>
    <s v="theater/plays"/>
    <x v="3"/>
    <s v="plays"/>
  </r>
  <r>
    <n v="667"/>
    <s v="Little Ltd"/>
    <s v="Decentralized bandwidth-monitored ability"/>
    <n v="6900"/>
    <n v="12155"/>
    <x v="1"/>
    <n v="419"/>
    <s v="US"/>
    <s v="USD"/>
    <n v="176.15942028985506"/>
    <n v="1410325200"/>
    <n v="29.009546539379475"/>
    <n v="1411102800"/>
    <x v="613"/>
    <d v="2014-09-19T05:00:00"/>
    <b v="0"/>
    <b v="0"/>
    <s v="journalism/audio"/>
    <x v="8"/>
    <s v="audio"/>
  </r>
  <r>
    <n v="668"/>
    <s v="Brown and Sons"/>
    <s v="Programmable leadingedge budgetary management"/>
    <n v="27500"/>
    <n v="5593"/>
    <x v="0"/>
    <n v="76"/>
    <s v="US"/>
    <s v="USD"/>
    <n v="20.33818181818182"/>
    <n v="1343797200"/>
    <n v="73.59210526315789"/>
    <n v="1344834000"/>
    <x v="614"/>
    <d v="2012-08-13T05:00:00"/>
    <b v="0"/>
    <b v="0"/>
    <s v="theater/plays"/>
    <x v="3"/>
    <s v="plays"/>
  </r>
  <r>
    <n v="669"/>
    <s v="Payne, Garrett and Thomas"/>
    <s v="Upgradable bi-directional concept"/>
    <n v="48800"/>
    <n v="175020"/>
    <x v="1"/>
    <n v="1621"/>
    <s v="IT"/>
    <s v="EUR"/>
    <n v="358.64754098360658"/>
    <n v="1498453200"/>
    <n v="107.97038864898211"/>
    <n v="1499230800"/>
    <x v="615"/>
    <d v="2017-07-05T05:00:00"/>
    <b v="0"/>
    <b v="0"/>
    <s v="theater/plays"/>
    <x v="3"/>
    <s v="plays"/>
  </r>
  <r>
    <n v="670"/>
    <s v="Robinson Group"/>
    <s v="Re-contextualized homogeneous flexibility"/>
    <n v="16200"/>
    <n v="75955"/>
    <x v="1"/>
    <n v="1101"/>
    <s v="US"/>
    <s v="USD"/>
    <n v="468.85802469135803"/>
    <n v="1456380000"/>
    <n v="68.987284287011803"/>
    <n v="1457416800"/>
    <x v="90"/>
    <d v="2016-03-08T06:00:00"/>
    <b v="0"/>
    <b v="0"/>
    <s v="music/indie rock"/>
    <x v="1"/>
    <s v="indie rock"/>
  </r>
  <r>
    <n v="671"/>
    <s v="Robinson-Kelly"/>
    <s v="Monitored bi-directional standardization"/>
    <n v="97600"/>
    <n v="119127"/>
    <x v="1"/>
    <n v="1073"/>
    <s v="US"/>
    <s v="USD"/>
    <n v="122.05635245901641"/>
    <n v="1280552400"/>
    <n v="111.02236719478098"/>
    <n v="1280898000"/>
    <x v="616"/>
    <d v="2010-08-04T05:00:00"/>
    <b v="0"/>
    <b v="1"/>
    <s v="theater/plays"/>
    <x v="3"/>
    <s v="plays"/>
  </r>
  <r>
    <n v="672"/>
    <s v="Kelly-Colon"/>
    <s v="Stand-alone grid-enabled leverage"/>
    <n v="197900"/>
    <n v="110689"/>
    <x v="0"/>
    <n v="4428"/>
    <s v="AU"/>
    <s v="AUD"/>
    <n v="55.931783729156137"/>
    <n v="1521608400"/>
    <n v="24.997515808491418"/>
    <n v="1522472400"/>
    <x v="617"/>
    <d v="2018-03-31T05:00:00"/>
    <b v="0"/>
    <b v="0"/>
    <s v="theater/plays"/>
    <x v="3"/>
    <s v="plays"/>
  </r>
  <r>
    <n v="673"/>
    <s v="Turner, Scott and Gentry"/>
    <s v="Assimilated regional groupware"/>
    <n v="5600"/>
    <n v="2445"/>
    <x v="0"/>
    <n v="58"/>
    <s v="IT"/>
    <s v="EUR"/>
    <n v="43.660714285714285"/>
    <n v="1460696400"/>
    <n v="42.155172413793103"/>
    <n v="1462510800"/>
    <x v="618"/>
    <d v="2016-05-06T05:00:00"/>
    <b v="0"/>
    <b v="0"/>
    <s v="music/indie rock"/>
    <x v="1"/>
    <s v="indie rock"/>
  </r>
  <r>
    <n v="674"/>
    <s v="Sanchez Ltd"/>
    <s v="Up-sized 24hour instruction set"/>
    <n v="170700"/>
    <n v="57250"/>
    <x v="3"/>
    <n v="1218"/>
    <s v="US"/>
    <s v="USD"/>
    <n v="33.53837141183363"/>
    <n v="1313730000"/>
    <n v="47.003284072249592"/>
    <n v="1317790800"/>
    <x v="619"/>
    <d v="2011-10-05T05:00:00"/>
    <b v="0"/>
    <b v="0"/>
    <s v="photography/photography books"/>
    <x v="7"/>
    <s v="photography books"/>
  </r>
  <r>
    <n v="675"/>
    <s v="Giles-Smith"/>
    <s v="Right-sized web-enabled intranet"/>
    <n v="9700"/>
    <n v="11929"/>
    <x v="1"/>
    <n v="331"/>
    <s v="US"/>
    <s v="USD"/>
    <n v="122.97938144329896"/>
    <n v="1568178000"/>
    <n v="36.0392749244713"/>
    <n v="1568782800"/>
    <x v="620"/>
    <d v="2019-09-18T05:00:00"/>
    <b v="0"/>
    <b v="0"/>
    <s v="journalism/audio"/>
    <x v="8"/>
    <s v="audio"/>
  </r>
  <r>
    <n v="676"/>
    <s v="Thompson-Moreno"/>
    <s v="Expanded needs-based orchestration"/>
    <n v="62300"/>
    <n v="118214"/>
    <x v="1"/>
    <n v="1170"/>
    <s v="US"/>
    <s v="USD"/>
    <n v="189.74959871589084"/>
    <n v="1348635600"/>
    <n v="101.03760683760684"/>
    <n v="1349413200"/>
    <x v="621"/>
    <d v="2012-10-05T05:00:00"/>
    <b v="0"/>
    <b v="0"/>
    <s v="photography/photography books"/>
    <x v="7"/>
    <s v="photography books"/>
  </r>
  <r>
    <n v="677"/>
    <s v="Murphy-Fox"/>
    <s v="Organic system-worthy orchestration"/>
    <n v="5300"/>
    <n v="4432"/>
    <x v="0"/>
    <n v="111"/>
    <s v="US"/>
    <s v="USD"/>
    <n v="83.622641509433961"/>
    <n v="1468126800"/>
    <n v="39.927927927927925"/>
    <n v="1472446800"/>
    <x v="622"/>
    <d v="2016-08-29T05:00:00"/>
    <b v="0"/>
    <b v="0"/>
    <s v="publishing/fiction"/>
    <x v="5"/>
    <s v="fiction"/>
  </r>
  <r>
    <n v="678"/>
    <s v="Rodriguez-Patterson"/>
    <s v="Inverse static standardization"/>
    <n v="99500"/>
    <n v="17879"/>
    <x v="3"/>
    <n v="215"/>
    <s v="US"/>
    <s v="USD"/>
    <n v="17.968844221105527"/>
    <n v="1547877600"/>
    <n v="83.158139534883716"/>
    <n v="1548050400"/>
    <x v="35"/>
    <d v="2019-01-21T06:00:00"/>
    <b v="0"/>
    <b v="0"/>
    <s v="film &amp; video/drama"/>
    <x v="4"/>
    <s v="drama"/>
  </r>
  <r>
    <n v="679"/>
    <s v="Davis Ltd"/>
    <s v="Synchronized motivating solution"/>
    <n v="1400"/>
    <n v="14511"/>
    <x v="1"/>
    <n v="363"/>
    <s v="US"/>
    <s v="USD"/>
    <n v="1036.5"/>
    <n v="1571374800"/>
    <n v="39.97520661157025"/>
    <n v="1571806800"/>
    <x v="623"/>
    <d v="2019-10-23T05:00:00"/>
    <b v="0"/>
    <b v="1"/>
    <s v="food/food trucks"/>
    <x v="0"/>
    <s v="food trucks"/>
  </r>
  <r>
    <n v="680"/>
    <s v="Nelson-Valdez"/>
    <s v="Open-source 4thgeneration open system"/>
    <n v="145600"/>
    <n v="141822"/>
    <x v="0"/>
    <n v="2955"/>
    <s v="US"/>
    <s v="USD"/>
    <n v="97.405219780219781"/>
    <n v="1576303200"/>
    <n v="47.993908629441627"/>
    <n v="1576476000"/>
    <x v="624"/>
    <d v="2019-12-16T06:00:00"/>
    <b v="0"/>
    <b v="1"/>
    <s v="games/mobile games"/>
    <x v="6"/>
    <s v="mobile games"/>
  </r>
  <r>
    <n v="681"/>
    <s v="Kelly PLC"/>
    <s v="Decentralized context-sensitive superstructure"/>
    <n v="184100"/>
    <n v="159037"/>
    <x v="0"/>
    <n v="1657"/>
    <s v="US"/>
    <s v="USD"/>
    <n v="86.386203150461711"/>
    <n v="1324447200"/>
    <n v="95.978877489438744"/>
    <n v="1324965600"/>
    <x v="625"/>
    <d v="2011-12-27T06:00:00"/>
    <b v="0"/>
    <b v="0"/>
    <s v="theater/plays"/>
    <x v="3"/>
    <s v="plays"/>
  </r>
  <r>
    <n v="682"/>
    <s v="Nguyen and Sons"/>
    <s v="Compatible 5thgeneration concept"/>
    <n v="5400"/>
    <n v="8109"/>
    <x v="1"/>
    <n v="103"/>
    <s v="US"/>
    <s v="USD"/>
    <n v="150.16666666666666"/>
    <n v="1386741600"/>
    <n v="78.728155339805824"/>
    <n v="1387519200"/>
    <x v="626"/>
    <d v="2013-12-20T06:00:00"/>
    <b v="0"/>
    <b v="0"/>
    <s v="theater/plays"/>
    <x v="3"/>
    <s v="plays"/>
  </r>
  <r>
    <n v="683"/>
    <s v="Jones PLC"/>
    <s v="Virtual systemic intranet"/>
    <n v="2300"/>
    <n v="8244"/>
    <x v="1"/>
    <n v="147"/>
    <s v="US"/>
    <s v="USD"/>
    <n v="358.43478260869563"/>
    <n v="1537074000"/>
    <n v="56.081632653061227"/>
    <n v="1537246800"/>
    <x v="627"/>
    <d v="2018-09-18T05:00:00"/>
    <b v="0"/>
    <b v="0"/>
    <s v="theater/plays"/>
    <x v="3"/>
    <s v="plays"/>
  </r>
  <r>
    <n v="684"/>
    <s v="Gilmore LLC"/>
    <s v="Optimized systemic algorithm"/>
    <n v="1400"/>
    <n v="7600"/>
    <x v="1"/>
    <n v="110"/>
    <s v="CA"/>
    <s v="CAD"/>
    <n v="542.85714285714289"/>
    <n v="1277787600"/>
    <n v="69.090909090909093"/>
    <n v="1279515600"/>
    <x v="628"/>
    <d v="2010-07-19T05:00:00"/>
    <b v="0"/>
    <b v="0"/>
    <s v="publishing/nonfiction"/>
    <x v="5"/>
    <s v="nonfiction"/>
  </r>
  <r>
    <n v="685"/>
    <s v="Lee-Cobb"/>
    <s v="Customizable homogeneous firmware"/>
    <n v="140000"/>
    <n v="94501"/>
    <x v="0"/>
    <n v="926"/>
    <s v="CA"/>
    <s v="CAD"/>
    <n v="67.500714285714281"/>
    <n v="1440306000"/>
    <n v="102.05291576673866"/>
    <n v="1442379600"/>
    <x v="629"/>
    <d v="2015-09-16T05:00:00"/>
    <b v="0"/>
    <b v="0"/>
    <s v="theater/plays"/>
    <x v="3"/>
    <s v="plays"/>
  </r>
  <r>
    <n v="686"/>
    <s v="Jones, Wiley and Robbins"/>
    <s v="Front-line cohesive extranet"/>
    <n v="7500"/>
    <n v="14381"/>
    <x v="1"/>
    <n v="134"/>
    <s v="US"/>
    <s v="USD"/>
    <n v="191.74666666666667"/>
    <n v="1522126800"/>
    <n v="107.32089552238806"/>
    <n v="1523077200"/>
    <x v="630"/>
    <d v="2018-04-07T05:00:00"/>
    <b v="0"/>
    <b v="0"/>
    <s v="technology/wearables"/>
    <x v="2"/>
    <s v="wearables"/>
  </r>
  <r>
    <n v="687"/>
    <s v="Martin, Gates and Holt"/>
    <s v="Distributed holistic neural-net"/>
    <n v="1500"/>
    <n v="13980"/>
    <x v="1"/>
    <n v="269"/>
    <s v="US"/>
    <s v="USD"/>
    <n v="932"/>
    <n v="1489298400"/>
    <n v="51.970260223048328"/>
    <n v="1489554000"/>
    <x v="631"/>
    <d v="2017-03-15T05:00:00"/>
    <b v="0"/>
    <b v="0"/>
    <s v="theater/plays"/>
    <x v="3"/>
    <s v="plays"/>
  </r>
  <r>
    <n v="688"/>
    <s v="Bowen, Davies and Burns"/>
    <s v="Devolved client-server monitoring"/>
    <n v="2900"/>
    <n v="12449"/>
    <x v="1"/>
    <n v="175"/>
    <s v="US"/>
    <s v="USD"/>
    <n v="429.27586206896552"/>
    <n v="1547100000"/>
    <n v="71.137142857142862"/>
    <n v="1548482400"/>
    <x v="632"/>
    <d v="2019-01-26T06:00:00"/>
    <b v="0"/>
    <b v="1"/>
    <s v="film &amp; video/television"/>
    <x v="4"/>
    <s v="television"/>
  </r>
  <r>
    <n v="689"/>
    <s v="Nguyen Inc"/>
    <s v="Seamless directional capacity"/>
    <n v="7300"/>
    <n v="7348"/>
    <x v="1"/>
    <n v="69"/>
    <s v="US"/>
    <s v="USD"/>
    <n v="100.65753424657535"/>
    <n v="1383022800"/>
    <n v="106.49275362318841"/>
    <n v="1384063200"/>
    <x v="633"/>
    <d v="2013-11-10T06:00:00"/>
    <b v="0"/>
    <b v="0"/>
    <s v="technology/web"/>
    <x v="2"/>
    <s v="web"/>
  </r>
  <r>
    <n v="690"/>
    <s v="Walsh-Watts"/>
    <s v="Polarized actuating implementation"/>
    <n v="3600"/>
    <n v="8158"/>
    <x v="1"/>
    <n v="190"/>
    <s v="US"/>
    <s v="USD"/>
    <n v="226.61111111111109"/>
    <n v="1322373600"/>
    <n v="42.93684210526316"/>
    <n v="1322892000"/>
    <x v="634"/>
    <d v="2011-12-03T06:00:00"/>
    <b v="0"/>
    <b v="1"/>
    <s v="film &amp; video/documentary"/>
    <x v="4"/>
    <s v="documentary"/>
  </r>
  <r>
    <n v="691"/>
    <s v="Ray, Li and Li"/>
    <s v="Front-line disintermediate hub"/>
    <n v="5000"/>
    <n v="7119"/>
    <x v="1"/>
    <n v="237"/>
    <s v="US"/>
    <s v="USD"/>
    <n v="142.38"/>
    <n v="1349240400"/>
    <n v="30.037974683544302"/>
    <n v="1350709200"/>
    <x v="635"/>
    <d v="2012-10-20T05:00:00"/>
    <b v="1"/>
    <b v="1"/>
    <s v="film &amp; video/documentary"/>
    <x v="4"/>
    <s v="documentary"/>
  </r>
  <r>
    <n v="692"/>
    <s v="Murray Ltd"/>
    <s v="Decentralized 4thgeneration challenge"/>
    <n v="6000"/>
    <n v="5438"/>
    <x v="0"/>
    <n v="77"/>
    <s v="GB"/>
    <s v="GBP"/>
    <n v="90.633333333333326"/>
    <n v="1562648400"/>
    <n v="70.623376623376629"/>
    <n v="1564203600"/>
    <x v="636"/>
    <d v="2019-07-27T05:00:00"/>
    <b v="0"/>
    <b v="0"/>
    <s v="music/rock"/>
    <x v="1"/>
    <s v="rock"/>
  </r>
  <r>
    <n v="693"/>
    <s v="Bradford-Silva"/>
    <s v="Reverse-engineered composite hierarchy"/>
    <n v="180400"/>
    <n v="115396"/>
    <x v="0"/>
    <n v="1748"/>
    <s v="US"/>
    <s v="USD"/>
    <n v="63.966740576496676"/>
    <n v="1508216400"/>
    <n v="66.016018306636155"/>
    <n v="1509685200"/>
    <x v="637"/>
    <d v="2017-11-03T05:00:00"/>
    <b v="0"/>
    <b v="0"/>
    <s v="theater/plays"/>
    <x v="3"/>
    <s v="plays"/>
  </r>
  <r>
    <n v="694"/>
    <s v="Mora-Bradley"/>
    <s v="Programmable tangible ability"/>
    <n v="9100"/>
    <n v="7656"/>
    <x v="0"/>
    <n v="79"/>
    <s v="US"/>
    <s v="USD"/>
    <n v="84.131868131868131"/>
    <n v="1511762400"/>
    <n v="96.911392405063296"/>
    <n v="1514959200"/>
    <x v="638"/>
    <d v="2018-01-03T06:00:00"/>
    <b v="0"/>
    <b v="0"/>
    <s v="theater/plays"/>
    <x v="3"/>
    <s v="plays"/>
  </r>
  <r>
    <n v="695"/>
    <s v="Cardenas, Thompson and Carey"/>
    <s v="Configurable full-range emulation"/>
    <n v="9200"/>
    <n v="12322"/>
    <x v="1"/>
    <n v="196"/>
    <s v="IT"/>
    <s v="EUR"/>
    <n v="133.93478260869566"/>
    <n v="1447480800"/>
    <n v="62.867346938775512"/>
    <n v="1448863200"/>
    <x v="639"/>
    <d v="2015-11-30T06:00:00"/>
    <b v="1"/>
    <b v="0"/>
    <s v="music/rock"/>
    <x v="1"/>
    <s v="rock"/>
  </r>
  <r>
    <n v="696"/>
    <s v="Lopez, Reid and Johnson"/>
    <s v="Total real-time hardware"/>
    <n v="164100"/>
    <n v="96888"/>
    <x v="0"/>
    <n v="889"/>
    <s v="US"/>
    <s v="USD"/>
    <n v="59.042047531992694"/>
    <n v="1429506000"/>
    <n v="108.98537682789652"/>
    <n v="1429592400"/>
    <x v="640"/>
    <d v="2015-04-21T05:00:00"/>
    <b v="0"/>
    <b v="1"/>
    <s v="theater/plays"/>
    <x v="3"/>
    <s v="plays"/>
  </r>
  <r>
    <n v="697"/>
    <s v="Fox-Williams"/>
    <s v="Profound system-worthy functionalities"/>
    <n v="128900"/>
    <n v="196960"/>
    <x v="1"/>
    <n v="7295"/>
    <s v="US"/>
    <s v="USD"/>
    <n v="152.80062063615205"/>
    <n v="1522472400"/>
    <n v="26.999314599040439"/>
    <n v="1522645200"/>
    <x v="641"/>
    <d v="2018-04-02T05:00:00"/>
    <b v="0"/>
    <b v="0"/>
    <s v="music/electric music"/>
    <x v="1"/>
    <s v="electric music"/>
  </r>
  <r>
    <n v="698"/>
    <s v="Taylor, Wood and Taylor"/>
    <s v="Cloned hybrid focus group"/>
    <n v="42100"/>
    <n v="188057"/>
    <x v="1"/>
    <n v="2893"/>
    <s v="CA"/>
    <s v="CAD"/>
    <n v="446.69121140142522"/>
    <n v="1322114400"/>
    <n v="65.004147943311438"/>
    <n v="1323324000"/>
    <x v="642"/>
    <d v="2011-12-08T06:00:00"/>
    <b v="0"/>
    <b v="0"/>
    <s v="technology/wearables"/>
    <x v="2"/>
    <s v="wearables"/>
  </r>
  <r>
    <n v="699"/>
    <s v="King Inc"/>
    <s v="Ergonomic dedicated focus group"/>
    <n v="7400"/>
    <n v="6245"/>
    <x v="0"/>
    <n v="56"/>
    <s v="US"/>
    <s v="USD"/>
    <n v="84.391891891891888"/>
    <n v="1561438800"/>
    <n v="111.51785714285714"/>
    <n v="1561525200"/>
    <x v="230"/>
    <d v="2019-06-26T05:00:00"/>
    <b v="0"/>
    <b v="0"/>
    <s v="film &amp; video/drama"/>
    <x v="4"/>
    <s v="drama"/>
  </r>
  <r>
    <n v="700"/>
    <s v="Cole, Petty and Cameron"/>
    <s v="Realigned zero administration paradigm"/>
    <n v="100"/>
    <n v="3"/>
    <x v="0"/>
    <n v="1"/>
    <s v="US"/>
    <s v="USD"/>
    <n v="3"/>
    <n v="1264399200"/>
    <n v="3"/>
    <n v="1265695200"/>
    <x v="67"/>
    <d v="2010-02-09T06:00:00"/>
    <b v="0"/>
    <b v="0"/>
    <s v="technology/wearables"/>
    <x v="2"/>
    <s v="wearables"/>
  </r>
  <r>
    <n v="701"/>
    <s v="Mcclain LLC"/>
    <s v="Open-source multi-tasking methodology"/>
    <n v="52000"/>
    <n v="91014"/>
    <x v="1"/>
    <n v="820"/>
    <s v="US"/>
    <s v="USD"/>
    <n v="175.02692307692308"/>
    <n v="1301202000"/>
    <n v="110.99268292682927"/>
    <n v="1301806800"/>
    <x v="643"/>
    <d v="2011-04-03T05:00:00"/>
    <b v="1"/>
    <b v="0"/>
    <s v="theater/plays"/>
    <x v="3"/>
    <s v="plays"/>
  </r>
  <r>
    <n v="702"/>
    <s v="Sims-Gross"/>
    <s v="Object-based attitude-oriented analyzer"/>
    <n v="8700"/>
    <n v="4710"/>
    <x v="0"/>
    <n v="83"/>
    <s v="US"/>
    <s v="USD"/>
    <n v="54.137931034482754"/>
    <n v="1374469200"/>
    <n v="56.746987951807228"/>
    <n v="1374901200"/>
    <x v="644"/>
    <d v="2013-07-27T05:00:00"/>
    <b v="0"/>
    <b v="0"/>
    <s v="technology/wearables"/>
    <x v="2"/>
    <s v="wearables"/>
  </r>
  <r>
    <n v="703"/>
    <s v="Perez Group"/>
    <s v="Cross-platform tertiary hub"/>
    <n v="63400"/>
    <n v="197728"/>
    <x v="1"/>
    <n v="2038"/>
    <s v="US"/>
    <s v="USD"/>
    <n v="311.87381703470032"/>
    <n v="1334984400"/>
    <n v="97.020608439646708"/>
    <n v="1336453200"/>
    <x v="645"/>
    <d v="2012-05-08T05:00:00"/>
    <b v="1"/>
    <b v="1"/>
    <s v="publishing/translations"/>
    <x v="5"/>
    <s v="translations"/>
  </r>
  <r>
    <n v="704"/>
    <s v="Haynes-Williams"/>
    <s v="Seamless clear-thinking artificial intelligence"/>
    <n v="8700"/>
    <n v="10682"/>
    <x v="1"/>
    <n v="116"/>
    <s v="US"/>
    <s v="USD"/>
    <n v="122.78160919540231"/>
    <n v="1467608400"/>
    <n v="92.08620689655173"/>
    <n v="1468904400"/>
    <x v="646"/>
    <d v="2016-07-19T05:00:00"/>
    <b v="0"/>
    <b v="0"/>
    <s v="film &amp; video/animation"/>
    <x v="4"/>
    <s v="animation"/>
  </r>
  <r>
    <n v="705"/>
    <s v="Ford LLC"/>
    <s v="Centralized tangible success"/>
    <n v="169700"/>
    <n v="168048"/>
    <x v="0"/>
    <n v="2025"/>
    <s v="GB"/>
    <s v="GBP"/>
    <n v="99.026517383618156"/>
    <n v="1386741600"/>
    <n v="82.986666666666665"/>
    <n v="1387087200"/>
    <x v="626"/>
    <d v="2013-12-15T06:00:00"/>
    <b v="0"/>
    <b v="0"/>
    <s v="publishing/nonfiction"/>
    <x v="5"/>
    <s v="nonfiction"/>
  </r>
  <r>
    <n v="706"/>
    <s v="Moreno Ltd"/>
    <s v="Customer-focused multimedia methodology"/>
    <n v="108400"/>
    <n v="138586"/>
    <x v="1"/>
    <n v="1345"/>
    <s v="AU"/>
    <s v="AUD"/>
    <n v="127.84686346863469"/>
    <n v="1546754400"/>
    <n v="103.03791821561339"/>
    <n v="1547445600"/>
    <x v="647"/>
    <d v="2019-01-14T06:00:00"/>
    <b v="0"/>
    <b v="1"/>
    <s v="technology/web"/>
    <x v="2"/>
    <s v="web"/>
  </r>
  <r>
    <n v="707"/>
    <s v="Moore, Cook and Wright"/>
    <s v="Visionary maximized Local Area Network"/>
    <n v="7300"/>
    <n v="11579"/>
    <x v="1"/>
    <n v="168"/>
    <s v="US"/>
    <s v="USD"/>
    <n v="158.61643835616439"/>
    <n v="1544248800"/>
    <n v="68.922619047619051"/>
    <n v="1547359200"/>
    <x v="159"/>
    <d v="2019-01-13T06:00:00"/>
    <b v="0"/>
    <b v="0"/>
    <s v="film &amp; video/drama"/>
    <x v="4"/>
    <s v="drama"/>
  </r>
  <r>
    <n v="708"/>
    <s v="Ortega LLC"/>
    <s v="Secured bifurcated intranet"/>
    <n v="1700"/>
    <n v="12020"/>
    <x v="1"/>
    <n v="137"/>
    <s v="CH"/>
    <s v="CHF"/>
    <n v="707.05882352941171"/>
    <n v="1495429200"/>
    <n v="87.737226277372258"/>
    <n v="1496293200"/>
    <x v="648"/>
    <d v="2017-06-01T05:00:00"/>
    <b v="0"/>
    <b v="0"/>
    <s v="theater/plays"/>
    <x v="3"/>
    <s v="plays"/>
  </r>
  <r>
    <n v="709"/>
    <s v="Silva, Walker and Martin"/>
    <s v="Grass-roots 4thgeneration product"/>
    <n v="9800"/>
    <n v="13954"/>
    <x v="1"/>
    <n v="186"/>
    <s v="IT"/>
    <s v="EUR"/>
    <n v="142.38775510204081"/>
    <n v="1334811600"/>
    <n v="75.021505376344081"/>
    <n v="1335416400"/>
    <x v="267"/>
    <d v="2012-04-26T05:00:00"/>
    <b v="0"/>
    <b v="0"/>
    <s v="theater/plays"/>
    <x v="3"/>
    <s v="plays"/>
  </r>
  <r>
    <n v="710"/>
    <s v="Huynh, Gallegos and Mills"/>
    <s v="Reduced next generation info-mediaries"/>
    <n v="4300"/>
    <n v="6358"/>
    <x v="1"/>
    <n v="125"/>
    <s v="US"/>
    <s v="USD"/>
    <n v="147.86046511627907"/>
    <n v="1531544400"/>
    <n v="50.863999999999997"/>
    <n v="1532149200"/>
    <x v="649"/>
    <d v="2018-07-21T05:00:00"/>
    <b v="0"/>
    <b v="1"/>
    <s v="theater/plays"/>
    <x v="3"/>
    <s v="plays"/>
  </r>
  <r>
    <n v="711"/>
    <s v="Anderson LLC"/>
    <s v="Customizable full-range artificial intelligence"/>
    <n v="6200"/>
    <n v="1260"/>
    <x v="0"/>
    <n v="14"/>
    <s v="IT"/>
    <s v="EUR"/>
    <n v="20.322580645161288"/>
    <n v="1453615200"/>
    <n v="90"/>
    <n v="1453788000"/>
    <x v="248"/>
    <d v="2016-01-26T06:00:00"/>
    <b v="1"/>
    <b v="1"/>
    <s v="theater/plays"/>
    <x v="3"/>
    <s v="plays"/>
  </r>
  <r>
    <n v="712"/>
    <s v="Garza-Bryant"/>
    <s v="Programmable leadingedge contingency"/>
    <n v="800"/>
    <n v="14725"/>
    <x v="1"/>
    <n v="202"/>
    <s v="US"/>
    <s v="USD"/>
    <n v="1840.625"/>
    <n v="1467954000"/>
    <n v="72.896039603960389"/>
    <n v="1471496400"/>
    <x v="571"/>
    <d v="2016-08-18T05:00:00"/>
    <b v="0"/>
    <b v="0"/>
    <s v="theater/plays"/>
    <x v="3"/>
    <s v="plays"/>
  </r>
  <r>
    <n v="713"/>
    <s v="Mays LLC"/>
    <s v="Multi-layered global groupware"/>
    <n v="6900"/>
    <n v="11174"/>
    <x v="1"/>
    <n v="103"/>
    <s v="US"/>
    <s v="USD"/>
    <n v="161.94202898550725"/>
    <n v="1471842000"/>
    <n v="108.48543689320388"/>
    <n v="1472878800"/>
    <x v="650"/>
    <d v="2016-09-03T05:00:00"/>
    <b v="0"/>
    <b v="0"/>
    <s v="publishing/radio &amp; podcasts"/>
    <x v="5"/>
    <s v="radio &amp; podcasts"/>
  </r>
  <r>
    <n v="714"/>
    <s v="Evans-Jones"/>
    <s v="Switchable methodical superstructure"/>
    <n v="38500"/>
    <n v="182036"/>
    <x v="1"/>
    <n v="1785"/>
    <s v="US"/>
    <s v="USD"/>
    <n v="472.82077922077923"/>
    <n v="1408424400"/>
    <n v="101.98095238095237"/>
    <n v="1408510800"/>
    <x v="1"/>
    <d v="2014-08-20T05:00:00"/>
    <b v="0"/>
    <b v="0"/>
    <s v="music/rock"/>
    <x v="1"/>
    <s v="rock"/>
  </r>
  <r>
    <n v="715"/>
    <s v="Fischer, Torres and Walker"/>
    <s v="Expanded even-keeled portal"/>
    <n v="118000"/>
    <n v="28870"/>
    <x v="0"/>
    <n v="656"/>
    <s v="US"/>
    <s v="USD"/>
    <n v="24.466101694915253"/>
    <n v="1281157200"/>
    <n v="44.009146341463413"/>
    <n v="1281589200"/>
    <x v="651"/>
    <d v="2010-08-12T05:00:00"/>
    <b v="0"/>
    <b v="0"/>
    <s v="games/mobile games"/>
    <x v="6"/>
    <s v="mobile games"/>
  </r>
  <r>
    <n v="716"/>
    <s v="Tapia, Kramer and Hicks"/>
    <s v="Advanced modular moderator"/>
    <n v="2000"/>
    <n v="10353"/>
    <x v="1"/>
    <n v="157"/>
    <s v="US"/>
    <s v="USD"/>
    <n v="517.65"/>
    <n v="1373432400"/>
    <n v="65.942675159235662"/>
    <n v="1375851600"/>
    <x v="652"/>
    <d v="2013-08-07T05:00:00"/>
    <b v="0"/>
    <b v="1"/>
    <s v="theater/plays"/>
    <x v="3"/>
    <s v="plays"/>
  </r>
  <r>
    <n v="717"/>
    <s v="Barnes, Wilcox and Riley"/>
    <s v="Reverse-engineered well-modulated ability"/>
    <n v="5600"/>
    <n v="13868"/>
    <x v="1"/>
    <n v="555"/>
    <s v="US"/>
    <s v="USD"/>
    <n v="247.64285714285714"/>
    <n v="1313989200"/>
    <n v="24.987387387387386"/>
    <n v="1315803600"/>
    <x v="653"/>
    <d v="2011-09-12T05:00:00"/>
    <b v="0"/>
    <b v="0"/>
    <s v="film &amp; video/documentary"/>
    <x v="4"/>
    <s v="documentary"/>
  </r>
  <r>
    <n v="718"/>
    <s v="Reyes PLC"/>
    <s v="Expanded optimal pricing structure"/>
    <n v="8300"/>
    <n v="8317"/>
    <x v="1"/>
    <n v="297"/>
    <s v="US"/>
    <s v="USD"/>
    <n v="100.20481927710843"/>
    <n v="1371445200"/>
    <n v="28.003367003367003"/>
    <n v="1373691600"/>
    <x v="654"/>
    <d v="2013-07-13T05:00:00"/>
    <b v="0"/>
    <b v="0"/>
    <s v="technology/wearables"/>
    <x v="2"/>
    <s v="wearables"/>
  </r>
  <r>
    <n v="719"/>
    <s v="Pace, Simpson and Watkins"/>
    <s v="Down-sized uniform ability"/>
    <n v="6900"/>
    <n v="10557"/>
    <x v="1"/>
    <n v="123"/>
    <s v="US"/>
    <s v="USD"/>
    <n v="153"/>
    <n v="1338267600"/>
    <n v="85.829268292682926"/>
    <n v="1339218000"/>
    <x v="655"/>
    <d v="2012-06-09T05:00:00"/>
    <b v="0"/>
    <b v="0"/>
    <s v="publishing/fiction"/>
    <x v="5"/>
    <s v="fiction"/>
  </r>
  <r>
    <n v="720"/>
    <s v="Valenzuela, Davidson and Castro"/>
    <s v="Multi-layered upward-trending conglomeration"/>
    <n v="8700"/>
    <n v="3227"/>
    <x v="3"/>
    <n v="38"/>
    <s v="DK"/>
    <s v="DKK"/>
    <n v="37.091954022988503"/>
    <n v="1519192800"/>
    <n v="84.921052631578945"/>
    <n v="1520402400"/>
    <x v="656"/>
    <d v="2018-03-07T06:00:00"/>
    <b v="0"/>
    <b v="1"/>
    <s v="theater/plays"/>
    <x v="3"/>
    <s v="plays"/>
  </r>
  <r>
    <n v="721"/>
    <s v="Dominguez-Owens"/>
    <s v="Open-architected systematic intranet"/>
    <n v="123600"/>
    <n v="5429"/>
    <x v="3"/>
    <n v="60"/>
    <s v="US"/>
    <s v="USD"/>
    <n v="4.392394822006473"/>
    <n v="1522818000"/>
    <n v="90.483333333333334"/>
    <n v="1523336400"/>
    <x v="657"/>
    <d v="2018-04-10T05:00:00"/>
    <b v="0"/>
    <b v="0"/>
    <s v="music/rock"/>
    <x v="1"/>
    <s v="rock"/>
  </r>
  <r>
    <n v="722"/>
    <s v="Thomas-Simmons"/>
    <s v="Proactive 24hour frame"/>
    <n v="48500"/>
    <n v="75906"/>
    <x v="1"/>
    <n v="3036"/>
    <s v="US"/>
    <s v="USD"/>
    <n v="156.50721649484535"/>
    <n v="1509948000"/>
    <n v="25.00197628458498"/>
    <n v="1512280800"/>
    <x v="265"/>
    <d v="2017-12-03T06:00:00"/>
    <b v="0"/>
    <b v="0"/>
    <s v="film &amp; video/documentary"/>
    <x v="4"/>
    <s v="documentary"/>
  </r>
  <r>
    <n v="723"/>
    <s v="Beck-Knight"/>
    <s v="Exclusive fresh-thinking model"/>
    <n v="4900"/>
    <n v="13250"/>
    <x v="1"/>
    <n v="144"/>
    <s v="AU"/>
    <s v="AUD"/>
    <n v="270.40816326530609"/>
    <n v="1456898400"/>
    <n v="92.013888888888886"/>
    <n v="1458709200"/>
    <x v="658"/>
    <d v="2016-03-23T05:00:00"/>
    <b v="0"/>
    <b v="0"/>
    <s v="theater/plays"/>
    <x v="3"/>
    <s v="plays"/>
  </r>
  <r>
    <n v="724"/>
    <s v="Mccoy Ltd"/>
    <s v="Business-focused encompassing intranet"/>
    <n v="8400"/>
    <n v="11261"/>
    <x v="1"/>
    <n v="121"/>
    <s v="GB"/>
    <s v="GBP"/>
    <n v="134.05952380952382"/>
    <n v="1413954000"/>
    <n v="93.066115702479337"/>
    <n v="1414126800"/>
    <x v="659"/>
    <d v="2014-10-24T05:00:00"/>
    <b v="0"/>
    <b v="1"/>
    <s v="theater/plays"/>
    <x v="3"/>
    <s v="plays"/>
  </r>
  <r>
    <n v="725"/>
    <s v="Dawson-Tyler"/>
    <s v="Optional 6thgeneration access"/>
    <n v="193200"/>
    <n v="97369"/>
    <x v="0"/>
    <n v="1596"/>
    <s v="US"/>
    <s v="USD"/>
    <n v="50.398033126293996"/>
    <n v="1416031200"/>
    <n v="61.008145363408524"/>
    <n v="1416204000"/>
    <x v="660"/>
    <d v="2014-11-17T06:00:00"/>
    <b v="0"/>
    <b v="0"/>
    <s v="games/mobile games"/>
    <x v="6"/>
    <s v="mobile games"/>
  </r>
  <r>
    <n v="726"/>
    <s v="Johns-Thomas"/>
    <s v="Realigned web-enabled functionalities"/>
    <n v="54300"/>
    <n v="48227"/>
    <x v="3"/>
    <n v="524"/>
    <s v="US"/>
    <s v="USD"/>
    <n v="88.815837937384899"/>
    <n v="1287982800"/>
    <n v="92.036259541984734"/>
    <n v="1288501200"/>
    <x v="661"/>
    <d v="2010-10-31T05:00:00"/>
    <b v="0"/>
    <b v="1"/>
    <s v="theater/plays"/>
    <x v="3"/>
    <s v="plays"/>
  </r>
  <r>
    <n v="727"/>
    <s v="Quinn, Cruz and Schmidt"/>
    <s v="Enterprise-wide multimedia software"/>
    <n v="8900"/>
    <n v="14685"/>
    <x v="1"/>
    <n v="181"/>
    <s v="US"/>
    <s v="USD"/>
    <n v="165"/>
    <n v="1547964000"/>
    <n v="81.132596685082873"/>
    <n v="1552971600"/>
    <x v="4"/>
    <d v="2019-03-19T05:00:00"/>
    <b v="0"/>
    <b v="0"/>
    <s v="technology/web"/>
    <x v="2"/>
    <s v="web"/>
  </r>
  <r>
    <n v="728"/>
    <s v="Stewart Inc"/>
    <s v="Versatile mission-critical knowledgebase"/>
    <n v="4200"/>
    <n v="735"/>
    <x v="0"/>
    <n v="10"/>
    <s v="US"/>
    <s v="USD"/>
    <n v="17.5"/>
    <n v="1464152400"/>
    <n v="73.5"/>
    <n v="1465102800"/>
    <x v="662"/>
    <d v="2016-06-05T05:00:00"/>
    <b v="0"/>
    <b v="0"/>
    <s v="theater/plays"/>
    <x v="3"/>
    <s v="plays"/>
  </r>
  <r>
    <n v="729"/>
    <s v="Moore Group"/>
    <s v="Multi-lateral object-oriented open system"/>
    <n v="5600"/>
    <n v="10397"/>
    <x v="1"/>
    <n v="122"/>
    <s v="US"/>
    <s v="USD"/>
    <n v="185.66071428571428"/>
    <n v="1359957600"/>
    <n v="85.221311475409834"/>
    <n v="1360130400"/>
    <x v="663"/>
    <d v="2013-02-06T06:00:00"/>
    <b v="0"/>
    <b v="0"/>
    <s v="film &amp; video/drama"/>
    <x v="4"/>
    <s v="drama"/>
  </r>
  <r>
    <n v="730"/>
    <s v="Carson PLC"/>
    <s v="Visionary system-worthy attitude"/>
    <n v="28800"/>
    <n v="118847"/>
    <x v="1"/>
    <n v="1071"/>
    <s v="CA"/>
    <s v="CAD"/>
    <n v="412.6631944444444"/>
    <n v="1432357200"/>
    <n v="110.96825396825396"/>
    <n v="1432875600"/>
    <x v="664"/>
    <d v="2015-05-29T05:00:00"/>
    <b v="0"/>
    <b v="0"/>
    <s v="technology/wearables"/>
    <x v="2"/>
    <s v="wearables"/>
  </r>
  <r>
    <n v="731"/>
    <s v="Cruz, Hall and Mason"/>
    <s v="Synergized content-based hierarchy"/>
    <n v="8000"/>
    <n v="7220"/>
    <x v="3"/>
    <n v="219"/>
    <s v="US"/>
    <s v="USD"/>
    <n v="90.25"/>
    <n v="1500786000"/>
    <n v="32.968036529680369"/>
    <n v="1500872400"/>
    <x v="665"/>
    <d v="2017-07-24T05:00:00"/>
    <b v="0"/>
    <b v="0"/>
    <s v="technology/web"/>
    <x v="2"/>
    <s v="web"/>
  </r>
  <r>
    <n v="732"/>
    <s v="Glass, Baker and Jones"/>
    <s v="Business-focused 24hour access"/>
    <n v="117000"/>
    <n v="107622"/>
    <x v="0"/>
    <n v="1121"/>
    <s v="US"/>
    <s v="USD"/>
    <n v="91.984615384615381"/>
    <n v="1490158800"/>
    <n v="96.005352363960753"/>
    <n v="1492146000"/>
    <x v="666"/>
    <d v="2017-04-14T05:00:00"/>
    <b v="0"/>
    <b v="1"/>
    <s v="music/rock"/>
    <x v="1"/>
    <s v="rock"/>
  </r>
  <r>
    <n v="733"/>
    <s v="Marquez-Kerr"/>
    <s v="Automated hybrid orchestration"/>
    <n v="15800"/>
    <n v="83267"/>
    <x v="1"/>
    <n v="980"/>
    <s v="US"/>
    <s v="USD"/>
    <n v="527.00632911392404"/>
    <n v="1406178000"/>
    <n v="84.96632653061225"/>
    <n v="1407301200"/>
    <x v="43"/>
    <d v="2014-08-06T05:00:00"/>
    <b v="0"/>
    <b v="0"/>
    <s v="music/metal"/>
    <x v="1"/>
    <s v="metal"/>
  </r>
  <r>
    <n v="734"/>
    <s v="Stone PLC"/>
    <s v="Exclusive 5thgeneration leverage"/>
    <n v="4200"/>
    <n v="13404"/>
    <x v="1"/>
    <n v="536"/>
    <s v="US"/>
    <s v="USD"/>
    <n v="319.14285714285711"/>
    <n v="1485583200"/>
    <n v="25.007462686567163"/>
    <n v="1486620000"/>
    <x v="667"/>
    <d v="2017-02-09T06:00:00"/>
    <b v="0"/>
    <b v="1"/>
    <s v="theater/plays"/>
    <x v="3"/>
    <s v="plays"/>
  </r>
  <r>
    <n v="735"/>
    <s v="Caldwell PLC"/>
    <s v="Grass-roots zero administration alliance"/>
    <n v="37100"/>
    <n v="131404"/>
    <x v="1"/>
    <n v="1991"/>
    <s v="US"/>
    <s v="USD"/>
    <n v="354.18867924528303"/>
    <n v="1459314000"/>
    <n v="65.998995479658461"/>
    <n v="1459918800"/>
    <x v="668"/>
    <d v="2016-04-06T05:00:00"/>
    <b v="0"/>
    <b v="0"/>
    <s v="photography/photography books"/>
    <x v="7"/>
    <s v="photography books"/>
  </r>
  <r>
    <n v="736"/>
    <s v="Silva-Hawkins"/>
    <s v="Proactive heuristic orchestration"/>
    <n v="7700"/>
    <n v="2533"/>
    <x v="3"/>
    <n v="29"/>
    <s v="US"/>
    <s v="USD"/>
    <n v="32.896103896103895"/>
    <n v="1424412000"/>
    <n v="87.34482758620689"/>
    <n v="1424757600"/>
    <x v="669"/>
    <d v="2015-02-24T06:00:00"/>
    <b v="0"/>
    <b v="0"/>
    <s v="publishing/nonfiction"/>
    <x v="5"/>
    <s v="nonfiction"/>
  </r>
  <r>
    <n v="737"/>
    <s v="Gardner Inc"/>
    <s v="Function-based systematic Graphical User Interface"/>
    <n v="3700"/>
    <n v="5028"/>
    <x v="1"/>
    <n v="180"/>
    <s v="US"/>
    <s v="USD"/>
    <n v="135.8918918918919"/>
    <n v="1478844000"/>
    <n v="27.933333333333334"/>
    <n v="1479880800"/>
    <x v="670"/>
    <d v="2016-11-23T06:00:00"/>
    <b v="0"/>
    <b v="0"/>
    <s v="music/indie rock"/>
    <x v="1"/>
    <s v="indie rock"/>
  </r>
  <r>
    <n v="738"/>
    <s v="Garcia Group"/>
    <s v="Extended zero administration software"/>
    <n v="74700"/>
    <n v="1557"/>
    <x v="0"/>
    <n v="15"/>
    <s v="US"/>
    <s v="USD"/>
    <n v="2.0843373493975905"/>
    <n v="1416117600"/>
    <n v="103.8"/>
    <n v="1418018400"/>
    <x v="671"/>
    <d v="2014-12-08T06:00:00"/>
    <b v="0"/>
    <b v="1"/>
    <s v="theater/plays"/>
    <x v="3"/>
    <s v="plays"/>
  </r>
  <r>
    <n v="739"/>
    <s v="Meyer-Avila"/>
    <s v="Multi-tiered discrete support"/>
    <n v="10000"/>
    <n v="6100"/>
    <x v="0"/>
    <n v="191"/>
    <s v="US"/>
    <s v="USD"/>
    <n v="61"/>
    <n v="1340946000"/>
    <n v="31.937172774869111"/>
    <n v="1341032400"/>
    <x v="672"/>
    <d v="2012-06-30T05:00:00"/>
    <b v="0"/>
    <b v="0"/>
    <s v="music/indie rock"/>
    <x v="1"/>
    <s v="indie rock"/>
  </r>
  <r>
    <n v="740"/>
    <s v="Nelson, Smith and Graham"/>
    <s v="Phased system-worthy conglomeration"/>
    <n v="5300"/>
    <n v="1592"/>
    <x v="0"/>
    <n v="16"/>
    <s v="US"/>
    <s v="USD"/>
    <n v="30.037735849056602"/>
    <n v="1486101600"/>
    <n v="99.5"/>
    <n v="1486360800"/>
    <x v="673"/>
    <d v="2017-02-06T06:00:00"/>
    <b v="0"/>
    <b v="0"/>
    <s v="theater/plays"/>
    <x v="3"/>
    <s v="plays"/>
  </r>
  <r>
    <n v="741"/>
    <s v="Garcia Ltd"/>
    <s v="Balanced mobile alliance"/>
    <n v="1200"/>
    <n v="14150"/>
    <x v="1"/>
    <n v="130"/>
    <s v="US"/>
    <s v="USD"/>
    <n v="1179.1666666666665"/>
    <n v="1274590800"/>
    <n v="108.84615384615384"/>
    <n v="1274677200"/>
    <x v="674"/>
    <d v="2010-05-24T05:00:00"/>
    <b v="0"/>
    <b v="0"/>
    <s v="theater/plays"/>
    <x v="3"/>
    <s v="plays"/>
  </r>
  <r>
    <n v="742"/>
    <s v="West-Stevens"/>
    <s v="Reactive solution-oriented groupware"/>
    <n v="1200"/>
    <n v="13513"/>
    <x v="1"/>
    <n v="122"/>
    <s v="US"/>
    <s v="USD"/>
    <n v="1126.0833333333335"/>
    <n v="1263880800"/>
    <n v="110.76229508196721"/>
    <n v="1267509600"/>
    <x v="675"/>
    <d v="2010-03-02T06:00:00"/>
    <b v="0"/>
    <b v="0"/>
    <s v="music/electric music"/>
    <x v="1"/>
    <s v="electric music"/>
  </r>
  <r>
    <n v="743"/>
    <s v="Clark-Conrad"/>
    <s v="Exclusive bandwidth-monitored orchestration"/>
    <n v="3900"/>
    <n v="504"/>
    <x v="0"/>
    <n v="17"/>
    <s v="US"/>
    <s v="USD"/>
    <n v="12.923076923076923"/>
    <n v="1445403600"/>
    <n v="29.647058823529413"/>
    <n v="1445922000"/>
    <x v="676"/>
    <d v="2015-10-27T05:00:00"/>
    <b v="0"/>
    <b v="1"/>
    <s v="theater/plays"/>
    <x v="3"/>
    <s v="plays"/>
  </r>
  <r>
    <n v="744"/>
    <s v="Fitzgerald Group"/>
    <s v="Intuitive exuding initiative"/>
    <n v="2000"/>
    <n v="14240"/>
    <x v="1"/>
    <n v="140"/>
    <s v="US"/>
    <s v="USD"/>
    <n v="712"/>
    <n v="1533877200"/>
    <n v="101.71428571428571"/>
    <n v="1534050000"/>
    <x v="342"/>
    <d v="2018-08-12T05:00:00"/>
    <b v="0"/>
    <b v="1"/>
    <s v="theater/plays"/>
    <x v="3"/>
    <s v="plays"/>
  </r>
  <r>
    <n v="745"/>
    <s v="Hill, Mccann and Moore"/>
    <s v="Streamlined needs-based knowledge user"/>
    <n v="6900"/>
    <n v="2091"/>
    <x v="0"/>
    <n v="34"/>
    <s v="US"/>
    <s v="USD"/>
    <n v="30.304347826086957"/>
    <n v="1275195600"/>
    <n v="61.5"/>
    <n v="1277528400"/>
    <x v="677"/>
    <d v="2010-06-26T05:00:00"/>
    <b v="0"/>
    <b v="0"/>
    <s v="technology/wearables"/>
    <x v="2"/>
    <s v="wearables"/>
  </r>
  <r>
    <n v="746"/>
    <s v="Edwards LLC"/>
    <s v="Automated system-worthy structure"/>
    <n v="55800"/>
    <n v="118580"/>
    <x v="1"/>
    <n v="3388"/>
    <s v="US"/>
    <s v="USD"/>
    <n v="212.50896057347671"/>
    <n v="1318136400"/>
    <n v="35"/>
    <n v="1318568400"/>
    <x v="678"/>
    <d v="2011-10-14T05:00:00"/>
    <b v="0"/>
    <b v="0"/>
    <s v="technology/web"/>
    <x v="2"/>
    <s v="web"/>
  </r>
  <r>
    <n v="747"/>
    <s v="Greer and Sons"/>
    <s v="Secured clear-thinking intranet"/>
    <n v="4900"/>
    <n v="11214"/>
    <x v="1"/>
    <n v="280"/>
    <s v="US"/>
    <s v="USD"/>
    <n v="228.85714285714286"/>
    <n v="1283403600"/>
    <n v="40.049999999999997"/>
    <n v="1284354000"/>
    <x v="679"/>
    <d v="2010-09-13T05:00:00"/>
    <b v="0"/>
    <b v="0"/>
    <s v="theater/plays"/>
    <x v="3"/>
    <s v="plays"/>
  </r>
  <r>
    <n v="748"/>
    <s v="Martinez PLC"/>
    <s v="Cloned actuating architecture"/>
    <n v="194900"/>
    <n v="68137"/>
    <x v="3"/>
    <n v="614"/>
    <s v="US"/>
    <s v="USD"/>
    <n v="34.959979476654695"/>
    <n v="1267423200"/>
    <n v="110.97231270358306"/>
    <n v="1269579600"/>
    <x v="680"/>
    <d v="2010-03-26T05:00:00"/>
    <b v="0"/>
    <b v="1"/>
    <s v="film &amp; video/animation"/>
    <x v="4"/>
    <s v="animation"/>
  </r>
  <r>
    <n v="749"/>
    <s v="Hunter-Logan"/>
    <s v="Down-sized needs-based task-force"/>
    <n v="8600"/>
    <n v="13527"/>
    <x v="1"/>
    <n v="366"/>
    <s v="IT"/>
    <s v="EUR"/>
    <n v="157.29069767441862"/>
    <n v="1412744400"/>
    <n v="36.959016393442624"/>
    <n v="1413781200"/>
    <x v="681"/>
    <d v="2014-10-20T05:00:00"/>
    <b v="0"/>
    <b v="1"/>
    <s v="technology/wearables"/>
    <x v="2"/>
    <s v="wearables"/>
  </r>
  <r>
    <n v="750"/>
    <s v="Ramos and Sons"/>
    <s v="Extended responsive Internet solution"/>
    <n v="100"/>
    <n v="1"/>
    <x v="0"/>
    <n v="1"/>
    <s v="GB"/>
    <s v="GBP"/>
    <n v="1"/>
    <n v="1277960400"/>
    <n v="1"/>
    <n v="1280120400"/>
    <x v="682"/>
    <d v="2010-07-26T05:00:00"/>
    <b v="0"/>
    <b v="0"/>
    <s v="music/electric music"/>
    <x v="1"/>
    <s v="electric music"/>
  </r>
  <r>
    <n v="751"/>
    <s v="Lane-Barber"/>
    <s v="Universal value-added moderator"/>
    <n v="3600"/>
    <n v="8363"/>
    <x v="1"/>
    <n v="270"/>
    <s v="US"/>
    <s v="USD"/>
    <n v="232.30555555555554"/>
    <n v="1458190800"/>
    <n v="30.974074074074075"/>
    <n v="1459486800"/>
    <x v="683"/>
    <d v="2016-04-01T05:00:00"/>
    <b v="1"/>
    <b v="1"/>
    <s v="publishing/nonfiction"/>
    <x v="5"/>
    <s v="nonfiction"/>
  </r>
  <r>
    <n v="752"/>
    <s v="Lowery Group"/>
    <s v="Sharable motivating emulation"/>
    <n v="5800"/>
    <n v="5362"/>
    <x v="3"/>
    <n v="114"/>
    <s v="US"/>
    <s v="USD"/>
    <n v="92.448275862068968"/>
    <n v="1280984400"/>
    <n v="47.035087719298247"/>
    <n v="1282539600"/>
    <x v="684"/>
    <d v="2010-08-23T05:00:00"/>
    <b v="0"/>
    <b v="1"/>
    <s v="theater/plays"/>
    <x v="3"/>
    <s v="plays"/>
  </r>
  <r>
    <n v="753"/>
    <s v="Guerrero-Griffin"/>
    <s v="Networked web-enabled product"/>
    <n v="4700"/>
    <n v="12065"/>
    <x v="1"/>
    <n v="137"/>
    <s v="US"/>
    <s v="USD"/>
    <n v="256.70212765957444"/>
    <n v="1274590800"/>
    <n v="88.065693430656935"/>
    <n v="1275886800"/>
    <x v="674"/>
    <d v="2010-06-07T05:00:00"/>
    <b v="0"/>
    <b v="0"/>
    <s v="photography/photography books"/>
    <x v="7"/>
    <s v="photography books"/>
  </r>
  <r>
    <n v="754"/>
    <s v="Perez, Reed and Lee"/>
    <s v="Advanced dedicated encoding"/>
    <n v="70400"/>
    <n v="118603"/>
    <x v="1"/>
    <n v="3205"/>
    <s v="US"/>
    <s v="USD"/>
    <n v="168.47017045454547"/>
    <n v="1351400400"/>
    <n v="37.005616224648989"/>
    <n v="1355983200"/>
    <x v="685"/>
    <d v="2012-12-20T06:00:00"/>
    <b v="0"/>
    <b v="0"/>
    <s v="theater/plays"/>
    <x v="3"/>
    <s v="plays"/>
  </r>
  <r>
    <n v="755"/>
    <s v="Chen, Pollard and Clarke"/>
    <s v="Stand-alone multi-state project"/>
    <n v="4500"/>
    <n v="7496"/>
    <x v="1"/>
    <n v="288"/>
    <s v="DK"/>
    <s v="DKK"/>
    <n v="166.57777777777778"/>
    <n v="1514354400"/>
    <n v="26.027777777777779"/>
    <n v="1515391200"/>
    <x v="605"/>
    <d v="2018-01-08T06:00:00"/>
    <b v="0"/>
    <b v="1"/>
    <s v="theater/plays"/>
    <x v="3"/>
    <s v="plays"/>
  </r>
  <r>
    <n v="756"/>
    <s v="Serrano, Gallagher and Griffith"/>
    <s v="Customizable bi-directional monitoring"/>
    <n v="1300"/>
    <n v="10037"/>
    <x v="1"/>
    <n v="148"/>
    <s v="US"/>
    <s v="USD"/>
    <n v="772.07692307692309"/>
    <n v="1421733600"/>
    <n v="67.817567567567565"/>
    <n v="1422252000"/>
    <x v="686"/>
    <d v="2015-01-26T06:00:00"/>
    <b v="0"/>
    <b v="0"/>
    <s v="theater/plays"/>
    <x v="3"/>
    <s v="plays"/>
  </r>
  <r>
    <n v="757"/>
    <s v="Callahan-Gilbert"/>
    <s v="Profit-focused motivating function"/>
    <n v="1400"/>
    <n v="5696"/>
    <x v="1"/>
    <n v="114"/>
    <s v="US"/>
    <s v="USD"/>
    <n v="406.85714285714283"/>
    <n v="1305176400"/>
    <n v="49.964912280701753"/>
    <n v="1305522000"/>
    <x v="687"/>
    <d v="2011-05-16T05:00:00"/>
    <b v="0"/>
    <b v="0"/>
    <s v="film &amp; video/drama"/>
    <x v="4"/>
    <s v="drama"/>
  </r>
  <r>
    <n v="758"/>
    <s v="Logan-Miranda"/>
    <s v="Proactive systemic firmware"/>
    <n v="29600"/>
    <n v="167005"/>
    <x v="1"/>
    <n v="1518"/>
    <s v="CA"/>
    <s v="CAD"/>
    <n v="564.20608108108115"/>
    <n v="1414126800"/>
    <n v="110.01646903820817"/>
    <n v="1414904400"/>
    <x v="688"/>
    <d v="2014-11-02T05:00:00"/>
    <b v="0"/>
    <b v="0"/>
    <s v="music/rock"/>
    <x v="1"/>
    <s v="rock"/>
  </r>
  <r>
    <n v="759"/>
    <s v="Rodriguez PLC"/>
    <s v="Grass-roots upward-trending installation"/>
    <n v="167500"/>
    <n v="114615"/>
    <x v="0"/>
    <n v="1274"/>
    <s v="US"/>
    <s v="USD"/>
    <n v="68.426865671641792"/>
    <n v="1517810400"/>
    <n v="89.964678178963894"/>
    <n v="1520402400"/>
    <x v="689"/>
    <d v="2018-03-07T06:00:00"/>
    <b v="0"/>
    <b v="0"/>
    <s v="music/electric music"/>
    <x v="1"/>
    <s v="electric music"/>
  </r>
  <r>
    <n v="760"/>
    <s v="Smith-Kennedy"/>
    <s v="Virtual heuristic hub"/>
    <n v="48300"/>
    <n v="16592"/>
    <x v="0"/>
    <n v="210"/>
    <s v="IT"/>
    <s v="EUR"/>
    <n v="34.351966873706004"/>
    <n v="1564635600"/>
    <n v="79.009523809523813"/>
    <n v="1567141200"/>
    <x v="690"/>
    <d v="2019-08-30T05:00:00"/>
    <b v="0"/>
    <b v="1"/>
    <s v="games/video games"/>
    <x v="6"/>
    <s v="video games"/>
  </r>
  <r>
    <n v="761"/>
    <s v="Mitchell-Lee"/>
    <s v="Customizable leadingedge model"/>
    <n v="2200"/>
    <n v="14420"/>
    <x v="1"/>
    <n v="166"/>
    <s v="US"/>
    <s v="USD"/>
    <n v="655.4545454545455"/>
    <n v="1500699600"/>
    <n v="86.867469879518069"/>
    <n v="1501131600"/>
    <x v="691"/>
    <d v="2017-07-27T05:00:00"/>
    <b v="0"/>
    <b v="0"/>
    <s v="music/rock"/>
    <x v="1"/>
    <s v="rock"/>
  </r>
  <r>
    <n v="762"/>
    <s v="Davis Ltd"/>
    <s v="Upgradable uniform service-desk"/>
    <n v="3500"/>
    <n v="6204"/>
    <x v="1"/>
    <n v="100"/>
    <s v="AU"/>
    <s v="AUD"/>
    <n v="177.25714285714284"/>
    <n v="1354082400"/>
    <n v="62.04"/>
    <n v="1355032800"/>
    <x v="692"/>
    <d v="2012-12-09T06:00:00"/>
    <b v="0"/>
    <b v="0"/>
    <s v="music/jazz"/>
    <x v="1"/>
    <s v="jazz"/>
  </r>
  <r>
    <n v="763"/>
    <s v="Rowland PLC"/>
    <s v="Inverse client-driven product"/>
    <n v="5600"/>
    <n v="6338"/>
    <x v="1"/>
    <n v="235"/>
    <s v="US"/>
    <s v="USD"/>
    <n v="113.17857142857144"/>
    <n v="1336453200"/>
    <n v="26.970212765957445"/>
    <n v="1339477200"/>
    <x v="693"/>
    <d v="2012-06-12T05:00:00"/>
    <b v="0"/>
    <b v="1"/>
    <s v="theater/plays"/>
    <x v="3"/>
    <s v="plays"/>
  </r>
  <r>
    <n v="764"/>
    <s v="Shaffer-Mason"/>
    <s v="Managed bandwidth-monitored system engine"/>
    <n v="1100"/>
    <n v="8010"/>
    <x v="1"/>
    <n v="148"/>
    <s v="US"/>
    <s v="USD"/>
    <n v="728.18181818181824"/>
    <n v="1305262800"/>
    <n v="54.121621621621621"/>
    <n v="1305954000"/>
    <x v="694"/>
    <d v="2011-05-21T05:00:00"/>
    <b v="0"/>
    <b v="0"/>
    <s v="music/rock"/>
    <x v="1"/>
    <s v="rock"/>
  </r>
  <r>
    <n v="765"/>
    <s v="Matthews LLC"/>
    <s v="Advanced transitional help-desk"/>
    <n v="3900"/>
    <n v="8125"/>
    <x v="1"/>
    <n v="198"/>
    <s v="US"/>
    <s v="USD"/>
    <n v="208.33333333333334"/>
    <n v="1492232400"/>
    <n v="41.035353535353536"/>
    <n v="1494392400"/>
    <x v="695"/>
    <d v="2017-05-10T05:00:00"/>
    <b v="1"/>
    <b v="1"/>
    <s v="music/indie rock"/>
    <x v="1"/>
    <s v="indie rock"/>
  </r>
  <r>
    <n v="766"/>
    <s v="Montgomery-Castro"/>
    <s v="De-engineered disintermediate encryption"/>
    <n v="43800"/>
    <n v="13653"/>
    <x v="0"/>
    <n v="248"/>
    <s v="AU"/>
    <s v="AUD"/>
    <n v="31.171232876712331"/>
    <n v="1537333200"/>
    <n v="55.052419354838712"/>
    <n v="1537419600"/>
    <x v="123"/>
    <d v="2018-09-20T05:00:00"/>
    <b v="0"/>
    <b v="0"/>
    <s v="film &amp; video/science fiction"/>
    <x v="4"/>
    <s v="science fiction"/>
  </r>
  <r>
    <n v="767"/>
    <s v="Hale, Pearson and Jenkins"/>
    <s v="Upgradable attitude-oriented project"/>
    <n v="97200"/>
    <n v="55372"/>
    <x v="0"/>
    <n v="513"/>
    <s v="US"/>
    <s v="USD"/>
    <n v="56.967078189300416"/>
    <n v="1444107600"/>
    <n v="107.93762183235867"/>
    <n v="1447999200"/>
    <x v="696"/>
    <d v="2015-11-20T06:00:00"/>
    <b v="0"/>
    <b v="0"/>
    <s v="publishing/translations"/>
    <x v="5"/>
    <s v="translations"/>
  </r>
  <r>
    <n v="768"/>
    <s v="Ramirez-Calderon"/>
    <s v="Fundamental zero tolerance alliance"/>
    <n v="4800"/>
    <n v="11088"/>
    <x v="1"/>
    <n v="150"/>
    <s v="US"/>
    <s v="USD"/>
    <n v="231"/>
    <n v="1386741600"/>
    <n v="73.92"/>
    <n v="1388037600"/>
    <x v="626"/>
    <d v="2013-12-26T06:00:00"/>
    <b v="0"/>
    <b v="0"/>
    <s v="theater/plays"/>
    <x v="3"/>
    <s v="plays"/>
  </r>
  <r>
    <n v="769"/>
    <s v="Johnson-Morales"/>
    <s v="Devolved 24hour forecast"/>
    <n v="125600"/>
    <n v="109106"/>
    <x v="0"/>
    <n v="3410"/>
    <s v="US"/>
    <s v="USD"/>
    <n v="86.867834394904463"/>
    <n v="1376542800"/>
    <n v="31.995894428152493"/>
    <n v="1378789200"/>
    <x v="697"/>
    <d v="2013-09-10T05:00:00"/>
    <b v="0"/>
    <b v="0"/>
    <s v="games/video games"/>
    <x v="6"/>
    <s v="video games"/>
  </r>
  <r>
    <n v="770"/>
    <s v="Mathis-Rodriguez"/>
    <s v="User-centric attitude-oriented intranet"/>
    <n v="4300"/>
    <n v="11642"/>
    <x v="1"/>
    <n v="216"/>
    <s v="IT"/>
    <s v="EUR"/>
    <n v="270.74418604651163"/>
    <n v="1397451600"/>
    <n v="53.898148148148145"/>
    <n v="1398056400"/>
    <x v="698"/>
    <d v="2014-04-21T05:00:00"/>
    <b v="0"/>
    <b v="1"/>
    <s v="theater/plays"/>
    <x v="3"/>
    <s v="plays"/>
  </r>
  <r>
    <n v="771"/>
    <s v="Smith, Mack and Williams"/>
    <s v="Self-enabling 5thgeneration paradigm"/>
    <n v="5600"/>
    <n v="2769"/>
    <x v="3"/>
    <n v="26"/>
    <s v="US"/>
    <s v="USD"/>
    <n v="49.446428571428569"/>
    <n v="1548482400"/>
    <n v="106.5"/>
    <n v="1550815200"/>
    <x v="699"/>
    <d v="2019-02-22T06:00:00"/>
    <b v="0"/>
    <b v="0"/>
    <s v="theater/plays"/>
    <x v="3"/>
    <s v="plays"/>
  </r>
  <r>
    <n v="772"/>
    <s v="Johnson-Pace"/>
    <s v="Persistent 3rdgeneration moratorium"/>
    <n v="149600"/>
    <n v="169586"/>
    <x v="1"/>
    <n v="5139"/>
    <s v="US"/>
    <s v="USD"/>
    <n v="113.3596256684492"/>
    <n v="1549692000"/>
    <n v="32.999805409612762"/>
    <n v="1550037600"/>
    <x v="700"/>
    <d v="2019-02-13T06:00:00"/>
    <b v="0"/>
    <b v="0"/>
    <s v="music/indie rock"/>
    <x v="1"/>
    <s v="indie rock"/>
  </r>
  <r>
    <n v="773"/>
    <s v="Meza, Kirby and Patel"/>
    <s v="Cross-platform empowering project"/>
    <n v="53100"/>
    <n v="101185"/>
    <x v="1"/>
    <n v="2353"/>
    <s v="US"/>
    <s v="USD"/>
    <n v="190.55555555555554"/>
    <n v="1492059600"/>
    <n v="43.00254993625159"/>
    <n v="1492923600"/>
    <x v="701"/>
    <d v="2017-04-23T05:00:00"/>
    <b v="0"/>
    <b v="0"/>
    <s v="theater/plays"/>
    <x v="3"/>
    <s v="plays"/>
  </r>
  <r>
    <n v="774"/>
    <s v="Gonzalez-Snow"/>
    <s v="Polarized user-facing interface"/>
    <n v="5000"/>
    <n v="6775"/>
    <x v="1"/>
    <n v="78"/>
    <s v="IT"/>
    <s v="EUR"/>
    <n v="135.5"/>
    <n v="1463979600"/>
    <n v="86.858974358974365"/>
    <n v="1467522000"/>
    <x v="702"/>
    <d v="2016-07-03T05:00:00"/>
    <b v="0"/>
    <b v="0"/>
    <s v="technology/web"/>
    <x v="2"/>
    <s v="web"/>
  </r>
  <r>
    <n v="775"/>
    <s v="Murphy LLC"/>
    <s v="Customer-focused non-volatile framework"/>
    <n v="9400"/>
    <n v="968"/>
    <x v="0"/>
    <n v="10"/>
    <s v="US"/>
    <s v="USD"/>
    <n v="10.297872340425531"/>
    <n v="1415253600"/>
    <n v="96.8"/>
    <n v="1416117600"/>
    <x v="703"/>
    <d v="2014-11-16T06:00:00"/>
    <b v="0"/>
    <b v="0"/>
    <s v="music/rock"/>
    <x v="1"/>
    <s v="rock"/>
  </r>
  <r>
    <n v="776"/>
    <s v="Taylor-Rowe"/>
    <s v="Synchronized multimedia frame"/>
    <n v="110800"/>
    <n v="72623"/>
    <x v="0"/>
    <n v="2201"/>
    <s v="US"/>
    <s v="USD"/>
    <n v="65.544223826714799"/>
    <n v="1562216400"/>
    <n v="32.995456610631528"/>
    <n v="1563771600"/>
    <x v="704"/>
    <d v="2019-07-22T05:00:00"/>
    <b v="0"/>
    <b v="0"/>
    <s v="theater/plays"/>
    <x v="3"/>
    <s v="plays"/>
  </r>
  <r>
    <n v="777"/>
    <s v="Henderson Ltd"/>
    <s v="Open-architected stable algorithm"/>
    <n v="93800"/>
    <n v="45987"/>
    <x v="0"/>
    <n v="676"/>
    <s v="US"/>
    <s v="USD"/>
    <n v="49.026652452025587"/>
    <n v="1316754000"/>
    <n v="68.028106508875737"/>
    <n v="1319259600"/>
    <x v="431"/>
    <d v="2011-10-22T05:00:00"/>
    <b v="0"/>
    <b v="0"/>
    <s v="theater/plays"/>
    <x v="3"/>
    <s v="plays"/>
  </r>
  <r>
    <n v="778"/>
    <s v="Moss-Guzman"/>
    <s v="Cross-platform optimizing website"/>
    <n v="1300"/>
    <n v="10243"/>
    <x v="1"/>
    <n v="174"/>
    <s v="CH"/>
    <s v="CHF"/>
    <n v="787.92307692307691"/>
    <n v="1313211600"/>
    <n v="58.867816091954026"/>
    <n v="1313643600"/>
    <x v="705"/>
    <d v="2011-08-18T05:00:00"/>
    <b v="0"/>
    <b v="0"/>
    <s v="film &amp; video/animation"/>
    <x v="4"/>
    <s v="animation"/>
  </r>
  <r>
    <n v="779"/>
    <s v="Webb Group"/>
    <s v="Public-key actuating projection"/>
    <n v="108700"/>
    <n v="87293"/>
    <x v="0"/>
    <n v="831"/>
    <s v="US"/>
    <s v="USD"/>
    <n v="80.306347746090154"/>
    <n v="1439528400"/>
    <n v="105.04572803850782"/>
    <n v="1440306000"/>
    <x v="706"/>
    <d v="2015-08-23T05:00:00"/>
    <b v="0"/>
    <b v="1"/>
    <s v="theater/plays"/>
    <x v="3"/>
    <s v="plays"/>
  </r>
  <r>
    <n v="780"/>
    <s v="Brooks-Rodriguez"/>
    <s v="Implemented intangible instruction set"/>
    <n v="5100"/>
    <n v="5421"/>
    <x v="1"/>
    <n v="164"/>
    <s v="US"/>
    <s v="USD"/>
    <n v="106.29411764705883"/>
    <n v="1469163600"/>
    <n v="33.054878048780488"/>
    <n v="1470805200"/>
    <x v="707"/>
    <d v="2016-08-10T05:00:00"/>
    <b v="0"/>
    <b v="1"/>
    <s v="film &amp; video/drama"/>
    <x v="4"/>
    <s v="drama"/>
  </r>
  <r>
    <n v="781"/>
    <s v="Thomas Ltd"/>
    <s v="Cross-group interactive architecture"/>
    <n v="8700"/>
    <n v="4414"/>
    <x v="3"/>
    <n v="56"/>
    <s v="CH"/>
    <s v="CHF"/>
    <n v="50.735632183908038"/>
    <n v="1288501200"/>
    <n v="78.821428571428569"/>
    <n v="1292911200"/>
    <x v="708"/>
    <d v="2010-12-21T06:00:00"/>
    <b v="0"/>
    <b v="0"/>
    <s v="theater/plays"/>
    <x v="3"/>
    <s v="plays"/>
  </r>
  <r>
    <n v="782"/>
    <s v="Williams and Sons"/>
    <s v="Centralized asymmetric framework"/>
    <n v="5100"/>
    <n v="10981"/>
    <x v="1"/>
    <n v="161"/>
    <s v="US"/>
    <s v="USD"/>
    <n v="215.31372549019611"/>
    <n v="1298959200"/>
    <n v="68.204968944099377"/>
    <n v="1301374800"/>
    <x v="709"/>
    <d v="2011-03-29T05:00:00"/>
    <b v="0"/>
    <b v="1"/>
    <s v="film &amp; video/animation"/>
    <x v="4"/>
    <s v="animation"/>
  </r>
  <r>
    <n v="783"/>
    <s v="Vega, Chan and Carney"/>
    <s v="Down-sized systematic utilization"/>
    <n v="7400"/>
    <n v="10451"/>
    <x v="1"/>
    <n v="138"/>
    <s v="US"/>
    <s v="USD"/>
    <n v="141.22972972972974"/>
    <n v="1387260000"/>
    <n v="75.731884057971016"/>
    <n v="1387864800"/>
    <x v="710"/>
    <d v="2013-12-24T06:00:00"/>
    <b v="0"/>
    <b v="0"/>
    <s v="music/rock"/>
    <x v="1"/>
    <s v="rock"/>
  </r>
  <r>
    <n v="784"/>
    <s v="Byrd Group"/>
    <s v="Profound fault-tolerant model"/>
    <n v="88900"/>
    <n v="102535"/>
    <x v="1"/>
    <n v="3308"/>
    <s v="US"/>
    <s v="USD"/>
    <n v="115.33745781777279"/>
    <n v="1457244000"/>
    <n v="30.996070133010882"/>
    <n v="1458190800"/>
    <x v="711"/>
    <d v="2016-03-17T05:00:00"/>
    <b v="0"/>
    <b v="0"/>
    <s v="technology/web"/>
    <x v="2"/>
    <s v="web"/>
  </r>
  <r>
    <n v="785"/>
    <s v="Peterson, Fletcher and Sanchez"/>
    <s v="Multi-channeled bi-directional moratorium"/>
    <n v="6700"/>
    <n v="12939"/>
    <x v="1"/>
    <n v="127"/>
    <s v="AU"/>
    <s v="AUD"/>
    <n v="193.11940298507463"/>
    <n v="1556341200"/>
    <n v="101.88188976377953"/>
    <n v="1559278800"/>
    <x v="157"/>
    <d v="2019-05-31T05:00:00"/>
    <b v="0"/>
    <b v="1"/>
    <s v="film &amp; video/animation"/>
    <x v="4"/>
    <s v="animation"/>
  </r>
  <r>
    <n v="786"/>
    <s v="Smith-Brown"/>
    <s v="Object-based content-based ability"/>
    <n v="1500"/>
    <n v="10946"/>
    <x v="1"/>
    <n v="207"/>
    <s v="IT"/>
    <s v="EUR"/>
    <n v="729.73333333333335"/>
    <n v="1522126800"/>
    <n v="52.879227053140099"/>
    <n v="1522731600"/>
    <x v="630"/>
    <d v="2018-04-03T05:00:00"/>
    <b v="0"/>
    <b v="1"/>
    <s v="music/jazz"/>
    <x v="1"/>
    <s v="jazz"/>
  </r>
  <r>
    <n v="787"/>
    <s v="Vance-Glover"/>
    <s v="Progressive coherent secured line"/>
    <n v="61200"/>
    <n v="60994"/>
    <x v="0"/>
    <n v="859"/>
    <s v="CA"/>
    <s v="CAD"/>
    <n v="99.66339869281046"/>
    <n v="1305954000"/>
    <n v="71.005820721769496"/>
    <n v="1306731600"/>
    <x v="712"/>
    <d v="2011-05-30T05:00:00"/>
    <b v="0"/>
    <b v="0"/>
    <s v="music/rock"/>
    <x v="1"/>
    <s v="rock"/>
  </r>
  <r>
    <n v="788"/>
    <s v="Joyce PLC"/>
    <s v="Synchronized directional capability"/>
    <n v="3600"/>
    <n v="3174"/>
    <x v="2"/>
    <n v="31"/>
    <s v="US"/>
    <s v="USD"/>
    <n v="88.166666666666671"/>
    <n v="1350709200"/>
    <n v="102.38709677419355"/>
    <n v="1352527200"/>
    <x v="93"/>
    <d v="2012-11-10T06:00:00"/>
    <b v="0"/>
    <b v="0"/>
    <s v="film &amp; video/animation"/>
    <x v="4"/>
    <s v="animation"/>
  </r>
  <r>
    <n v="789"/>
    <s v="Kennedy-Miller"/>
    <s v="Cross-platform composite migration"/>
    <n v="9000"/>
    <n v="3351"/>
    <x v="0"/>
    <n v="45"/>
    <s v="US"/>
    <s v="USD"/>
    <n v="37.233333333333334"/>
    <n v="1401166800"/>
    <n v="74.466666666666669"/>
    <n v="1404363600"/>
    <x v="713"/>
    <d v="2014-07-03T05:00:00"/>
    <b v="0"/>
    <b v="0"/>
    <s v="theater/plays"/>
    <x v="3"/>
    <s v="plays"/>
  </r>
  <r>
    <n v="790"/>
    <s v="White-Obrien"/>
    <s v="Operative local pricing structure"/>
    <n v="185900"/>
    <n v="56774"/>
    <x v="3"/>
    <n v="1113"/>
    <s v="US"/>
    <s v="USD"/>
    <n v="30.540075309306079"/>
    <n v="1266127200"/>
    <n v="51.009883198562441"/>
    <n v="1266645600"/>
    <x v="714"/>
    <d v="2010-02-20T06:00:00"/>
    <b v="0"/>
    <b v="0"/>
    <s v="theater/plays"/>
    <x v="3"/>
    <s v="plays"/>
  </r>
  <r>
    <n v="791"/>
    <s v="Stafford, Hess and Raymond"/>
    <s v="Optional web-enabled extranet"/>
    <n v="2100"/>
    <n v="540"/>
    <x v="0"/>
    <n v="6"/>
    <s v="US"/>
    <s v="USD"/>
    <n v="25.714285714285712"/>
    <n v="1481436000"/>
    <n v="90"/>
    <n v="1482818400"/>
    <x v="715"/>
    <d v="2016-12-27T06:00:00"/>
    <b v="0"/>
    <b v="0"/>
    <s v="food/food trucks"/>
    <x v="0"/>
    <s v="food trucks"/>
  </r>
  <r>
    <n v="792"/>
    <s v="Jordan, Schneider and Hall"/>
    <s v="Reduced 6thgeneration intranet"/>
    <n v="2000"/>
    <n v="680"/>
    <x v="0"/>
    <n v="7"/>
    <s v="US"/>
    <s v="USD"/>
    <n v="34"/>
    <n v="1372222800"/>
    <n v="97.142857142857139"/>
    <n v="1374642000"/>
    <x v="716"/>
    <d v="2013-07-24T05:00:00"/>
    <b v="0"/>
    <b v="1"/>
    <s v="theater/plays"/>
    <x v="3"/>
    <s v="plays"/>
  </r>
  <r>
    <n v="793"/>
    <s v="Rodriguez, Cox and Rodriguez"/>
    <s v="Networked disintermediate leverage"/>
    <n v="1100"/>
    <n v="13045"/>
    <x v="1"/>
    <n v="181"/>
    <s v="CH"/>
    <s v="CHF"/>
    <n v="1185.909090909091"/>
    <n v="1372136400"/>
    <n v="72.071823204419886"/>
    <n v="1372482000"/>
    <x v="448"/>
    <d v="2013-06-29T05:00:00"/>
    <b v="0"/>
    <b v="0"/>
    <s v="publishing/nonfiction"/>
    <x v="5"/>
    <s v="nonfiction"/>
  </r>
  <r>
    <n v="794"/>
    <s v="Welch Inc"/>
    <s v="Optional optimal website"/>
    <n v="6600"/>
    <n v="8276"/>
    <x v="1"/>
    <n v="110"/>
    <s v="US"/>
    <s v="USD"/>
    <n v="125.39393939393939"/>
    <n v="1513922400"/>
    <n v="75.236363636363635"/>
    <n v="1514959200"/>
    <x v="717"/>
    <d v="2018-01-03T06:00:00"/>
    <b v="0"/>
    <b v="0"/>
    <s v="music/rock"/>
    <x v="1"/>
    <s v="rock"/>
  </r>
  <r>
    <n v="795"/>
    <s v="Vasquez Inc"/>
    <s v="Stand-alone asynchronous functionalities"/>
    <n v="7100"/>
    <n v="1022"/>
    <x v="0"/>
    <n v="31"/>
    <s v="US"/>
    <s v="USD"/>
    <n v="14.394366197183098"/>
    <n v="1477976400"/>
    <n v="32.967741935483872"/>
    <n v="1478235600"/>
    <x v="718"/>
    <d v="2016-11-04T05:00:00"/>
    <b v="0"/>
    <b v="0"/>
    <s v="film &amp; video/drama"/>
    <x v="4"/>
    <s v="drama"/>
  </r>
  <r>
    <n v="796"/>
    <s v="Freeman-Ferguson"/>
    <s v="Profound full-range open system"/>
    <n v="7800"/>
    <n v="4275"/>
    <x v="0"/>
    <n v="78"/>
    <s v="US"/>
    <s v="USD"/>
    <n v="54.807692307692314"/>
    <n v="1407474000"/>
    <n v="54.807692307692307"/>
    <n v="1408078800"/>
    <x v="719"/>
    <d v="2014-08-15T05:00:00"/>
    <b v="0"/>
    <b v="1"/>
    <s v="games/mobile games"/>
    <x v="6"/>
    <s v="mobile games"/>
  </r>
  <r>
    <n v="797"/>
    <s v="Houston, Moore and Rogers"/>
    <s v="Optional tangible utilization"/>
    <n v="7600"/>
    <n v="8332"/>
    <x v="1"/>
    <n v="185"/>
    <s v="US"/>
    <s v="USD"/>
    <n v="109.63157894736841"/>
    <n v="1546149600"/>
    <n v="45.037837837837834"/>
    <n v="1548136800"/>
    <x v="720"/>
    <d v="2019-01-22T06:00:00"/>
    <b v="0"/>
    <b v="0"/>
    <s v="technology/web"/>
    <x v="2"/>
    <s v="web"/>
  </r>
  <r>
    <n v="798"/>
    <s v="Small-Fuentes"/>
    <s v="Seamless maximized product"/>
    <n v="3400"/>
    <n v="6408"/>
    <x v="1"/>
    <n v="121"/>
    <s v="US"/>
    <s v="USD"/>
    <n v="188.47058823529412"/>
    <n v="1338440400"/>
    <n v="52.958677685950413"/>
    <n v="1340859600"/>
    <x v="721"/>
    <d v="2012-06-28T05:00:00"/>
    <b v="0"/>
    <b v="1"/>
    <s v="theater/plays"/>
    <x v="3"/>
    <s v="plays"/>
  </r>
  <r>
    <n v="799"/>
    <s v="Reid-Day"/>
    <s v="Devolved tertiary time-frame"/>
    <n v="84500"/>
    <n v="73522"/>
    <x v="0"/>
    <n v="1225"/>
    <s v="GB"/>
    <s v="GBP"/>
    <n v="87.008284023668637"/>
    <n v="1454133600"/>
    <n v="60.017959183673469"/>
    <n v="1454479200"/>
    <x v="722"/>
    <d v="2016-02-03T06:00:00"/>
    <b v="0"/>
    <b v="0"/>
    <s v="theater/plays"/>
    <x v="3"/>
    <s v="plays"/>
  </r>
  <r>
    <n v="800"/>
    <s v="Wallace LLC"/>
    <s v="Centralized regional function"/>
    <n v="100"/>
    <n v="1"/>
    <x v="0"/>
    <n v="1"/>
    <s v="CH"/>
    <s v="CHF"/>
    <n v="1"/>
    <n v="1434085200"/>
    <n v="1"/>
    <n v="1434430800"/>
    <x v="139"/>
    <d v="2015-06-16T05:00:00"/>
    <b v="0"/>
    <b v="0"/>
    <s v="music/rock"/>
    <x v="1"/>
    <s v="rock"/>
  </r>
  <r>
    <n v="801"/>
    <s v="Olson-Bishop"/>
    <s v="User-friendly high-level initiative"/>
    <n v="2300"/>
    <n v="4667"/>
    <x v="1"/>
    <n v="106"/>
    <s v="US"/>
    <s v="USD"/>
    <n v="202.9130434782609"/>
    <n v="1577772000"/>
    <n v="44.028301886792455"/>
    <n v="1579672800"/>
    <x v="723"/>
    <d v="2020-01-22T06:00:00"/>
    <b v="0"/>
    <b v="1"/>
    <s v="photography/photography books"/>
    <x v="7"/>
    <s v="photography books"/>
  </r>
  <r>
    <n v="802"/>
    <s v="Rodriguez, Anderson and Porter"/>
    <s v="Reverse-engineered zero-defect infrastructure"/>
    <n v="6200"/>
    <n v="12216"/>
    <x v="1"/>
    <n v="142"/>
    <s v="US"/>
    <s v="USD"/>
    <n v="197.03225806451613"/>
    <n v="1562216400"/>
    <n v="86.028169014084511"/>
    <n v="1562389200"/>
    <x v="704"/>
    <d v="2019-07-06T05:00:00"/>
    <b v="0"/>
    <b v="0"/>
    <s v="photography/photography books"/>
    <x v="7"/>
    <s v="photography books"/>
  </r>
  <r>
    <n v="803"/>
    <s v="Perez, Brown and Meyers"/>
    <s v="Stand-alone background customer loyalty"/>
    <n v="6100"/>
    <n v="6527"/>
    <x v="1"/>
    <n v="233"/>
    <s v="US"/>
    <s v="USD"/>
    <n v="107"/>
    <n v="1548568800"/>
    <n v="28.012875536480685"/>
    <n v="1551506400"/>
    <x v="724"/>
    <d v="2019-03-02T06:00:00"/>
    <b v="0"/>
    <b v="0"/>
    <s v="theater/plays"/>
    <x v="3"/>
    <s v="plays"/>
  </r>
  <r>
    <n v="804"/>
    <s v="English-Mccullough"/>
    <s v="Business-focused discrete software"/>
    <n v="2600"/>
    <n v="6987"/>
    <x v="1"/>
    <n v="218"/>
    <s v="US"/>
    <s v="USD"/>
    <n v="268.73076923076923"/>
    <n v="1514872800"/>
    <n v="32.050458715596328"/>
    <n v="1516600800"/>
    <x v="725"/>
    <d v="2018-01-22T06:00:00"/>
    <b v="0"/>
    <b v="0"/>
    <s v="music/rock"/>
    <x v="1"/>
    <s v="rock"/>
  </r>
  <r>
    <n v="805"/>
    <s v="Smith-Nguyen"/>
    <s v="Advanced intermediate Graphic Interface"/>
    <n v="9700"/>
    <n v="4932"/>
    <x v="0"/>
    <n v="67"/>
    <s v="AU"/>
    <s v="AUD"/>
    <n v="50.845360824742272"/>
    <n v="1416031200"/>
    <n v="73.611940298507463"/>
    <n v="1420437600"/>
    <x v="660"/>
    <d v="2015-01-05T06:00:00"/>
    <b v="0"/>
    <b v="0"/>
    <s v="film &amp; video/documentary"/>
    <x v="4"/>
    <s v="documentary"/>
  </r>
  <r>
    <n v="806"/>
    <s v="Harmon-Madden"/>
    <s v="Adaptive holistic hub"/>
    <n v="700"/>
    <n v="8262"/>
    <x v="1"/>
    <n v="76"/>
    <s v="US"/>
    <s v="USD"/>
    <n v="1180.2857142857142"/>
    <n v="1330927200"/>
    <n v="108.71052631578948"/>
    <n v="1332997200"/>
    <x v="726"/>
    <d v="2012-03-29T05:00:00"/>
    <b v="0"/>
    <b v="1"/>
    <s v="film &amp; video/drama"/>
    <x v="4"/>
    <s v="drama"/>
  </r>
  <r>
    <n v="807"/>
    <s v="Walker-Taylor"/>
    <s v="Automated uniform concept"/>
    <n v="700"/>
    <n v="1848"/>
    <x v="1"/>
    <n v="43"/>
    <s v="US"/>
    <s v="USD"/>
    <n v="264"/>
    <n v="1571115600"/>
    <n v="42.97674418604651"/>
    <n v="1574920800"/>
    <x v="727"/>
    <d v="2019-11-28T06:00:00"/>
    <b v="0"/>
    <b v="1"/>
    <s v="theater/plays"/>
    <x v="3"/>
    <s v="plays"/>
  </r>
  <r>
    <n v="808"/>
    <s v="Harris, Medina and Mitchell"/>
    <s v="Enhanced regional flexibility"/>
    <n v="5200"/>
    <n v="1583"/>
    <x v="0"/>
    <n v="19"/>
    <s v="US"/>
    <s v="USD"/>
    <n v="30.44230769230769"/>
    <n v="1463461200"/>
    <n v="83.315789473684205"/>
    <n v="1464930000"/>
    <x v="728"/>
    <d v="2016-06-03T05:00:00"/>
    <b v="0"/>
    <b v="0"/>
    <s v="food/food trucks"/>
    <x v="0"/>
    <s v="food trucks"/>
  </r>
  <r>
    <n v="809"/>
    <s v="Williams and Sons"/>
    <s v="Public-key bottom-line algorithm"/>
    <n v="140800"/>
    <n v="88536"/>
    <x v="0"/>
    <n v="2108"/>
    <s v="CH"/>
    <s v="CHF"/>
    <n v="62.880681818181813"/>
    <n v="1344920400"/>
    <n v="42"/>
    <n v="1345006800"/>
    <x v="729"/>
    <d v="2012-08-15T05:00:00"/>
    <b v="0"/>
    <b v="0"/>
    <s v="film &amp; video/documentary"/>
    <x v="4"/>
    <s v="documentary"/>
  </r>
  <r>
    <n v="810"/>
    <s v="Ball-Fisher"/>
    <s v="Multi-layered intangible instruction set"/>
    <n v="6400"/>
    <n v="12360"/>
    <x v="1"/>
    <n v="221"/>
    <s v="US"/>
    <s v="USD"/>
    <n v="193.125"/>
    <n v="1511848800"/>
    <n v="55.927601809954751"/>
    <n v="1512712800"/>
    <x v="730"/>
    <d v="2017-12-08T06:00:00"/>
    <b v="0"/>
    <b v="1"/>
    <s v="theater/plays"/>
    <x v="3"/>
    <s v="plays"/>
  </r>
  <r>
    <n v="811"/>
    <s v="Page, Holt and Mack"/>
    <s v="Fundamental methodical emulation"/>
    <n v="92500"/>
    <n v="71320"/>
    <x v="0"/>
    <n v="679"/>
    <s v="US"/>
    <s v="USD"/>
    <n v="77.102702702702715"/>
    <n v="1452319200"/>
    <n v="105.03681885125184"/>
    <n v="1452492000"/>
    <x v="731"/>
    <d v="2016-01-11T06:00:00"/>
    <b v="0"/>
    <b v="1"/>
    <s v="games/video games"/>
    <x v="6"/>
    <s v="video games"/>
  </r>
  <r>
    <n v="812"/>
    <s v="Landry Group"/>
    <s v="Expanded value-added hardware"/>
    <n v="59700"/>
    <n v="134640"/>
    <x v="1"/>
    <n v="2805"/>
    <s v="CA"/>
    <s v="CAD"/>
    <n v="225.52763819095478"/>
    <n v="1523854800"/>
    <n v="48"/>
    <n v="1524286800"/>
    <x v="78"/>
    <d v="2018-04-21T05:00:00"/>
    <b v="0"/>
    <b v="0"/>
    <s v="publishing/nonfiction"/>
    <x v="5"/>
    <s v="nonfiction"/>
  </r>
  <r>
    <n v="813"/>
    <s v="Buckley Group"/>
    <s v="Diverse high-level attitude"/>
    <n v="3200"/>
    <n v="7661"/>
    <x v="1"/>
    <n v="68"/>
    <s v="US"/>
    <s v="USD"/>
    <n v="239.40625"/>
    <n v="1346043600"/>
    <n v="112.66176470588235"/>
    <n v="1346907600"/>
    <x v="732"/>
    <d v="2012-09-06T05:00:00"/>
    <b v="0"/>
    <b v="0"/>
    <s v="games/video games"/>
    <x v="6"/>
    <s v="video games"/>
  </r>
  <r>
    <n v="814"/>
    <s v="Vincent PLC"/>
    <s v="Visionary 24hour analyzer"/>
    <n v="3200"/>
    <n v="2950"/>
    <x v="0"/>
    <n v="36"/>
    <s v="DK"/>
    <s v="DKK"/>
    <n v="92.1875"/>
    <n v="1464325200"/>
    <n v="81.944444444444443"/>
    <n v="1464498000"/>
    <x v="733"/>
    <d v="2016-05-29T05:00:00"/>
    <b v="0"/>
    <b v="1"/>
    <s v="music/rock"/>
    <x v="1"/>
    <s v="rock"/>
  </r>
  <r>
    <n v="815"/>
    <s v="Watson-Douglas"/>
    <s v="Centralized bandwidth-monitored leverage"/>
    <n v="9000"/>
    <n v="11721"/>
    <x v="1"/>
    <n v="183"/>
    <s v="CA"/>
    <s v="CAD"/>
    <n v="130.23333333333335"/>
    <n v="1511935200"/>
    <n v="64.049180327868854"/>
    <n v="1514181600"/>
    <x v="734"/>
    <d v="2017-12-25T06:00:00"/>
    <b v="0"/>
    <b v="0"/>
    <s v="music/rock"/>
    <x v="1"/>
    <s v="rock"/>
  </r>
  <r>
    <n v="816"/>
    <s v="Jones, Casey and Jones"/>
    <s v="Ergonomic mission-critical moratorium"/>
    <n v="2300"/>
    <n v="14150"/>
    <x v="1"/>
    <n v="133"/>
    <s v="US"/>
    <s v="USD"/>
    <n v="615.21739130434787"/>
    <n v="1392012000"/>
    <n v="106.39097744360902"/>
    <n v="1392184800"/>
    <x v="406"/>
    <d v="2014-02-12T06:00:00"/>
    <b v="1"/>
    <b v="1"/>
    <s v="theater/plays"/>
    <x v="3"/>
    <s v="plays"/>
  </r>
  <r>
    <n v="817"/>
    <s v="Alvarez-Bauer"/>
    <s v="Front-line intermediate moderator"/>
    <n v="51300"/>
    <n v="189192"/>
    <x v="1"/>
    <n v="2489"/>
    <s v="IT"/>
    <s v="EUR"/>
    <n v="368.79532163742692"/>
    <n v="1556946000"/>
    <n v="76.011249497790274"/>
    <n v="1559365200"/>
    <x v="735"/>
    <d v="2019-06-01T05:00:00"/>
    <b v="0"/>
    <b v="1"/>
    <s v="publishing/nonfiction"/>
    <x v="5"/>
    <s v="nonfiction"/>
  </r>
  <r>
    <n v="818"/>
    <s v="Martinez LLC"/>
    <s v="Automated local secured line"/>
    <n v="700"/>
    <n v="7664"/>
    <x v="1"/>
    <n v="69"/>
    <s v="US"/>
    <s v="USD"/>
    <n v="1094.8571428571429"/>
    <n v="1548050400"/>
    <n v="111.07246376811594"/>
    <n v="1549173600"/>
    <x v="736"/>
    <d v="2019-02-03T06:00:00"/>
    <b v="0"/>
    <b v="1"/>
    <s v="theater/plays"/>
    <x v="3"/>
    <s v="plays"/>
  </r>
  <r>
    <n v="819"/>
    <s v="Buck-Khan"/>
    <s v="Integrated bandwidth-monitored alliance"/>
    <n v="8900"/>
    <n v="4509"/>
    <x v="0"/>
    <n v="47"/>
    <s v="US"/>
    <s v="USD"/>
    <n v="50.662921348314605"/>
    <n v="1353736800"/>
    <n v="95.936170212765958"/>
    <n v="1355032800"/>
    <x v="737"/>
    <d v="2012-12-09T06:00:00"/>
    <b v="1"/>
    <b v="0"/>
    <s v="games/video games"/>
    <x v="6"/>
    <s v="video games"/>
  </r>
  <r>
    <n v="820"/>
    <s v="Valdez, Williams and Meyer"/>
    <s v="Cross-group heuristic forecast"/>
    <n v="1500"/>
    <n v="12009"/>
    <x v="1"/>
    <n v="279"/>
    <s v="GB"/>
    <s v="GBP"/>
    <n v="800.6"/>
    <n v="1532840400"/>
    <n v="43.043010752688176"/>
    <n v="1533963600"/>
    <x v="192"/>
    <d v="2018-08-11T05:00:00"/>
    <b v="0"/>
    <b v="1"/>
    <s v="music/rock"/>
    <x v="1"/>
    <s v="rock"/>
  </r>
  <r>
    <n v="821"/>
    <s v="Alvarez-Andrews"/>
    <s v="Extended impactful secured line"/>
    <n v="4900"/>
    <n v="14273"/>
    <x v="1"/>
    <n v="210"/>
    <s v="US"/>
    <s v="USD"/>
    <n v="291.28571428571428"/>
    <n v="1488261600"/>
    <n v="67.966666666666669"/>
    <n v="1489381200"/>
    <x v="738"/>
    <d v="2017-03-13T05:00:00"/>
    <b v="0"/>
    <b v="0"/>
    <s v="film &amp; video/documentary"/>
    <x v="4"/>
    <s v="documentary"/>
  </r>
  <r>
    <n v="822"/>
    <s v="Stewart and Sons"/>
    <s v="Distributed optimizing protocol"/>
    <n v="54000"/>
    <n v="188982"/>
    <x v="1"/>
    <n v="2100"/>
    <s v="US"/>
    <s v="USD"/>
    <n v="349.9666666666667"/>
    <n v="1393567200"/>
    <n v="89.991428571428571"/>
    <n v="1395032400"/>
    <x v="739"/>
    <d v="2014-03-17T05:00:00"/>
    <b v="0"/>
    <b v="0"/>
    <s v="music/rock"/>
    <x v="1"/>
    <s v="rock"/>
  </r>
  <r>
    <n v="823"/>
    <s v="Dyer Inc"/>
    <s v="Secured well-modulated system engine"/>
    <n v="4100"/>
    <n v="14640"/>
    <x v="1"/>
    <n v="252"/>
    <s v="US"/>
    <s v="USD"/>
    <n v="357.07317073170731"/>
    <n v="1410325200"/>
    <n v="58.095238095238095"/>
    <n v="1412485200"/>
    <x v="613"/>
    <d v="2014-10-05T05:00:00"/>
    <b v="1"/>
    <b v="1"/>
    <s v="music/rock"/>
    <x v="1"/>
    <s v="rock"/>
  </r>
  <r>
    <n v="824"/>
    <s v="Anderson, Williams and Cox"/>
    <s v="Streamlined national benchmark"/>
    <n v="85000"/>
    <n v="107516"/>
    <x v="1"/>
    <n v="1280"/>
    <s v="US"/>
    <s v="USD"/>
    <n v="126.48941176470588"/>
    <n v="1276923600"/>
    <n v="83.996875000000003"/>
    <n v="1279688400"/>
    <x v="740"/>
    <d v="2010-07-21T05:00:00"/>
    <b v="0"/>
    <b v="1"/>
    <s v="publishing/nonfiction"/>
    <x v="5"/>
    <s v="nonfiction"/>
  </r>
  <r>
    <n v="825"/>
    <s v="Solomon PLC"/>
    <s v="Open-architected 24/7 infrastructure"/>
    <n v="3600"/>
    <n v="13950"/>
    <x v="1"/>
    <n v="157"/>
    <s v="GB"/>
    <s v="GBP"/>
    <n v="387.5"/>
    <n v="1500958800"/>
    <n v="88.853503184713375"/>
    <n v="1501995600"/>
    <x v="145"/>
    <d v="2017-08-06T05:00:00"/>
    <b v="0"/>
    <b v="0"/>
    <s v="film &amp; video/shorts"/>
    <x v="4"/>
    <s v="shorts"/>
  </r>
  <r>
    <n v="826"/>
    <s v="Miller-Hubbard"/>
    <s v="Digitized 6thgeneration Local Area Network"/>
    <n v="2800"/>
    <n v="12797"/>
    <x v="1"/>
    <n v="194"/>
    <s v="US"/>
    <s v="USD"/>
    <n v="457.03571428571428"/>
    <n v="1292220000"/>
    <n v="65.963917525773198"/>
    <n v="1294639200"/>
    <x v="741"/>
    <d v="2011-01-10T06:00:00"/>
    <b v="0"/>
    <b v="1"/>
    <s v="theater/plays"/>
    <x v="3"/>
    <s v="plays"/>
  </r>
  <r>
    <n v="827"/>
    <s v="Miranda, Martinez and Lowery"/>
    <s v="Innovative actuating artificial intelligence"/>
    <n v="2300"/>
    <n v="6134"/>
    <x v="1"/>
    <n v="82"/>
    <s v="AU"/>
    <s v="AUD"/>
    <n v="266.69565217391306"/>
    <n v="1304398800"/>
    <n v="74.804878048780495"/>
    <n v="1305435600"/>
    <x v="742"/>
    <d v="2011-05-15T05:00:00"/>
    <b v="0"/>
    <b v="1"/>
    <s v="film &amp; video/drama"/>
    <x v="4"/>
    <s v="drama"/>
  </r>
  <r>
    <n v="828"/>
    <s v="Munoz, Cherry and Bell"/>
    <s v="Cross-platform reciprocal budgetary management"/>
    <n v="7100"/>
    <n v="4899"/>
    <x v="0"/>
    <n v="70"/>
    <s v="US"/>
    <s v="USD"/>
    <n v="69"/>
    <n v="1535432400"/>
    <n v="69.98571428571428"/>
    <n v="1537592400"/>
    <x v="202"/>
    <d v="2018-09-22T05:00:00"/>
    <b v="0"/>
    <b v="0"/>
    <s v="theater/plays"/>
    <x v="3"/>
    <s v="plays"/>
  </r>
  <r>
    <n v="829"/>
    <s v="Baker-Higgins"/>
    <s v="Vision-oriented scalable portal"/>
    <n v="9600"/>
    <n v="4929"/>
    <x v="0"/>
    <n v="154"/>
    <s v="US"/>
    <s v="USD"/>
    <n v="51.34375"/>
    <n v="1433826000"/>
    <n v="32.006493506493506"/>
    <n v="1435122000"/>
    <x v="743"/>
    <d v="2015-06-24T05:00:00"/>
    <b v="0"/>
    <b v="0"/>
    <s v="theater/plays"/>
    <x v="3"/>
    <s v="plays"/>
  </r>
  <r>
    <n v="830"/>
    <s v="Johnson, Turner and Carroll"/>
    <s v="Persevering zero administration knowledge user"/>
    <n v="121600"/>
    <n v="1424"/>
    <x v="0"/>
    <n v="22"/>
    <s v="US"/>
    <s v="USD"/>
    <n v="1.1710526315789473"/>
    <n v="1514959200"/>
    <n v="64.727272727272734"/>
    <n v="1520056800"/>
    <x v="744"/>
    <d v="2018-03-03T06:00:00"/>
    <b v="0"/>
    <b v="0"/>
    <s v="theater/plays"/>
    <x v="3"/>
    <s v="plays"/>
  </r>
  <r>
    <n v="831"/>
    <s v="Ward PLC"/>
    <s v="Front-line bottom-line Graphic Interface"/>
    <n v="97100"/>
    <n v="105817"/>
    <x v="1"/>
    <n v="4233"/>
    <s v="US"/>
    <s v="USD"/>
    <n v="108.97734294541709"/>
    <n v="1332738000"/>
    <n v="24.998110087408456"/>
    <n v="1335675600"/>
    <x v="745"/>
    <d v="2012-04-29T05:00:00"/>
    <b v="0"/>
    <b v="0"/>
    <s v="photography/photography books"/>
    <x v="7"/>
    <s v="photography books"/>
  </r>
  <r>
    <n v="832"/>
    <s v="Bradley, Beck and Mayo"/>
    <s v="Synergized fault-tolerant hierarchy"/>
    <n v="43200"/>
    <n v="136156"/>
    <x v="1"/>
    <n v="1297"/>
    <s v="DK"/>
    <s v="DKK"/>
    <n v="315.17592592592592"/>
    <n v="1445490000"/>
    <n v="104.97764070932922"/>
    <n v="1448431200"/>
    <x v="746"/>
    <d v="2015-11-25T06:00:00"/>
    <b v="1"/>
    <b v="0"/>
    <s v="publishing/translations"/>
    <x v="5"/>
    <s v="translations"/>
  </r>
  <r>
    <n v="833"/>
    <s v="Levine, Martin and Hernandez"/>
    <s v="Expanded asynchronous groupware"/>
    <n v="6800"/>
    <n v="10723"/>
    <x v="1"/>
    <n v="165"/>
    <s v="DK"/>
    <s v="DKK"/>
    <n v="157.69117647058823"/>
    <n v="1297663200"/>
    <n v="64.987878787878785"/>
    <n v="1298613600"/>
    <x v="747"/>
    <d v="2011-02-25T06:00:00"/>
    <b v="0"/>
    <b v="0"/>
    <s v="publishing/translations"/>
    <x v="5"/>
    <s v="translations"/>
  </r>
  <r>
    <n v="834"/>
    <s v="Gallegos, Wagner and Gaines"/>
    <s v="Expanded fault-tolerant emulation"/>
    <n v="7300"/>
    <n v="11228"/>
    <x v="1"/>
    <n v="119"/>
    <s v="US"/>
    <s v="USD"/>
    <n v="153.8082191780822"/>
    <n v="1371963600"/>
    <n v="94.352941176470594"/>
    <n v="1372482000"/>
    <x v="362"/>
    <d v="2013-06-29T05:00:00"/>
    <b v="0"/>
    <b v="0"/>
    <s v="theater/plays"/>
    <x v="3"/>
    <s v="plays"/>
  </r>
  <r>
    <n v="835"/>
    <s v="Hodges, Smith and Kelly"/>
    <s v="Future-proofed 24hour model"/>
    <n v="86200"/>
    <n v="77355"/>
    <x v="0"/>
    <n v="1758"/>
    <s v="US"/>
    <s v="USD"/>
    <n v="89.738979118329468"/>
    <n v="1425103200"/>
    <n v="44.001706484641637"/>
    <n v="1425621600"/>
    <x v="748"/>
    <d v="2015-03-06T06:00:00"/>
    <b v="0"/>
    <b v="0"/>
    <s v="technology/web"/>
    <x v="2"/>
    <s v="web"/>
  </r>
  <r>
    <n v="836"/>
    <s v="Macias Inc"/>
    <s v="Optimized didactic intranet"/>
    <n v="8100"/>
    <n v="6086"/>
    <x v="0"/>
    <n v="94"/>
    <s v="US"/>
    <s v="USD"/>
    <n v="75.135802469135797"/>
    <n v="1265349600"/>
    <n v="64.744680851063833"/>
    <n v="1266300000"/>
    <x v="749"/>
    <d v="2010-02-16T06:00:00"/>
    <b v="0"/>
    <b v="0"/>
    <s v="music/indie rock"/>
    <x v="1"/>
    <s v="indie rock"/>
  </r>
  <r>
    <n v="837"/>
    <s v="Cook-Ortiz"/>
    <s v="Right-sized dedicated standardization"/>
    <n v="17700"/>
    <n v="150960"/>
    <x v="1"/>
    <n v="1797"/>
    <s v="US"/>
    <s v="USD"/>
    <n v="852.88135593220341"/>
    <n v="1301202000"/>
    <n v="84.00667779632721"/>
    <n v="1305867600"/>
    <x v="643"/>
    <d v="2011-05-20T05:00:00"/>
    <b v="0"/>
    <b v="0"/>
    <s v="music/jazz"/>
    <x v="1"/>
    <s v="jazz"/>
  </r>
  <r>
    <n v="838"/>
    <s v="Jordan-Fischer"/>
    <s v="Vision-oriented high-level extranet"/>
    <n v="6400"/>
    <n v="8890"/>
    <x v="1"/>
    <n v="261"/>
    <s v="US"/>
    <s v="USD"/>
    <n v="138.90625"/>
    <n v="1538024400"/>
    <n v="34.061302681992338"/>
    <n v="1538802000"/>
    <x v="750"/>
    <d v="2018-10-06T05:00:00"/>
    <b v="0"/>
    <b v="0"/>
    <s v="theater/plays"/>
    <x v="3"/>
    <s v="plays"/>
  </r>
  <r>
    <n v="839"/>
    <s v="Pierce-Ramirez"/>
    <s v="Organized scalable initiative"/>
    <n v="7700"/>
    <n v="14644"/>
    <x v="1"/>
    <n v="157"/>
    <s v="US"/>
    <s v="USD"/>
    <n v="190.18181818181819"/>
    <n v="1395032400"/>
    <n v="93.273885350318466"/>
    <n v="1398920400"/>
    <x v="751"/>
    <d v="2014-05-01T05:00:00"/>
    <b v="0"/>
    <b v="1"/>
    <s v="film &amp; video/documentary"/>
    <x v="4"/>
    <s v="documentary"/>
  </r>
  <r>
    <n v="840"/>
    <s v="Howell and Sons"/>
    <s v="Enhanced regional moderator"/>
    <n v="116300"/>
    <n v="116583"/>
    <x v="1"/>
    <n v="3533"/>
    <s v="US"/>
    <s v="USD"/>
    <n v="100.24333619948409"/>
    <n v="1405486800"/>
    <n v="32.998301726577978"/>
    <n v="1405659600"/>
    <x v="752"/>
    <d v="2014-07-18T05:00:00"/>
    <b v="0"/>
    <b v="1"/>
    <s v="theater/plays"/>
    <x v="3"/>
    <s v="plays"/>
  </r>
  <r>
    <n v="841"/>
    <s v="Garcia, Dunn and Richardson"/>
    <s v="Automated even-keeled emulation"/>
    <n v="9100"/>
    <n v="12991"/>
    <x v="1"/>
    <n v="155"/>
    <s v="US"/>
    <s v="USD"/>
    <n v="142.75824175824175"/>
    <n v="1455861600"/>
    <n v="83.812903225806451"/>
    <n v="1457244000"/>
    <x v="753"/>
    <d v="2016-03-06T06:00:00"/>
    <b v="0"/>
    <b v="0"/>
    <s v="technology/web"/>
    <x v="2"/>
    <s v="web"/>
  </r>
  <r>
    <n v="842"/>
    <s v="Lawson and Sons"/>
    <s v="Reverse-engineered multi-tasking product"/>
    <n v="1500"/>
    <n v="8447"/>
    <x v="1"/>
    <n v="132"/>
    <s v="IT"/>
    <s v="EUR"/>
    <n v="563.13333333333333"/>
    <n v="1529038800"/>
    <n v="63.992424242424242"/>
    <n v="1529298000"/>
    <x v="754"/>
    <d v="2018-06-18T05:00:00"/>
    <b v="0"/>
    <b v="0"/>
    <s v="technology/wearables"/>
    <x v="2"/>
    <s v="wearables"/>
  </r>
  <r>
    <n v="843"/>
    <s v="Porter-Hicks"/>
    <s v="De-engineered next generation parallelism"/>
    <n v="8800"/>
    <n v="2703"/>
    <x v="0"/>
    <n v="33"/>
    <s v="US"/>
    <s v="USD"/>
    <n v="30.715909090909086"/>
    <n v="1535259600"/>
    <n v="81.909090909090907"/>
    <n v="1535778000"/>
    <x v="755"/>
    <d v="2018-09-01T05:00:00"/>
    <b v="0"/>
    <b v="0"/>
    <s v="photography/photography books"/>
    <x v="7"/>
    <s v="photography books"/>
  </r>
  <r>
    <n v="844"/>
    <s v="Rodriguez-Hansen"/>
    <s v="Intuitive cohesive groupware"/>
    <n v="8800"/>
    <n v="8747"/>
    <x v="3"/>
    <n v="94"/>
    <s v="US"/>
    <s v="USD"/>
    <n v="99.39772727272728"/>
    <n v="1327212000"/>
    <n v="93.053191489361708"/>
    <n v="1327471200"/>
    <x v="756"/>
    <d v="2012-01-25T06:00:00"/>
    <b v="0"/>
    <b v="0"/>
    <s v="film &amp; video/documentary"/>
    <x v="4"/>
    <s v="documentary"/>
  </r>
  <r>
    <n v="845"/>
    <s v="Williams LLC"/>
    <s v="Up-sized high-level access"/>
    <n v="69900"/>
    <n v="138087"/>
    <x v="1"/>
    <n v="1354"/>
    <s v="GB"/>
    <s v="GBP"/>
    <n v="197.54935622317598"/>
    <n v="1526360400"/>
    <n v="101.98449039881831"/>
    <n v="1529557200"/>
    <x v="757"/>
    <d v="2018-06-21T05:00:00"/>
    <b v="0"/>
    <b v="0"/>
    <s v="technology/web"/>
    <x v="2"/>
    <s v="web"/>
  </r>
  <r>
    <n v="846"/>
    <s v="Cooper, Stanley and Bryant"/>
    <s v="Phased empowering success"/>
    <n v="1000"/>
    <n v="5085"/>
    <x v="1"/>
    <n v="48"/>
    <s v="US"/>
    <s v="USD"/>
    <n v="508.5"/>
    <n v="1532149200"/>
    <n v="105.9375"/>
    <n v="1535259600"/>
    <x v="758"/>
    <d v="2018-08-26T05:00:00"/>
    <b v="1"/>
    <b v="1"/>
    <s v="technology/web"/>
    <x v="2"/>
    <s v="web"/>
  </r>
  <r>
    <n v="847"/>
    <s v="Miller, Glenn and Adams"/>
    <s v="Distributed actuating project"/>
    <n v="4700"/>
    <n v="11174"/>
    <x v="1"/>
    <n v="110"/>
    <s v="US"/>
    <s v="USD"/>
    <n v="237.74468085106383"/>
    <n v="1515304800"/>
    <n v="101.58181818181818"/>
    <n v="1515564000"/>
    <x v="759"/>
    <d v="2018-01-10T06:00:00"/>
    <b v="0"/>
    <b v="0"/>
    <s v="food/food trucks"/>
    <x v="0"/>
    <s v="food trucks"/>
  </r>
  <r>
    <n v="848"/>
    <s v="Cole, Salazar and Moreno"/>
    <s v="Robust motivating orchestration"/>
    <n v="3200"/>
    <n v="10831"/>
    <x v="1"/>
    <n v="172"/>
    <s v="US"/>
    <s v="USD"/>
    <n v="338.46875"/>
    <n v="1276318800"/>
    <n v="62.970930232558139"/>
    <n v="1277096400"/>
    <x v="760"/>
    <d v="2010-06-21T05:00:00"/>
    <b v="0"/>
    <b v="0"/>
    <s v="film &amp; video/drama"/>
    <x v="4"/>
    <s v="drama"/>
  </r>
  <r>
    <n v="849"/>
    <s v="Jones-Ryan"/>
    <s v="Vision-oriented uniform instruction set"/>
    <n v="6700"/>
    <n v="8917"/>
    <x v="1"/>
    <n v="307"/>
    <s v="US"/>
    <s v="USD"/>
    <n v="133.08955223880596"/>
    <n v="1328767200"/>
    <n v="29.045602605863191"/>
    <n v="1329026400"/>
    <x v="761"/>
    <d v="2012-02-12T06:00:00"/>
    <b v="0"/>
    <b v="1"/>
    <s v="music/indie rock"/>
    <x v="1"/>
    <s v="indie rock"/>
  </r>
  <r>
    <n v="850"/>
    <s v="Hood, Perez and Meadows"/>
    <s v="Cross-group upward-trending hierarchy"/>
    <n v="100"/>
    <n v="1"/>
    <x v="0"/>
    <n v="1"/>
    <s v="US"/>
    <s v="USD"/>
    <n v="1"/>
    <n v="1321682400"/>
    <n v="1"/>
    <n v="1322978400"/>
    <x v="762"/>
    <d v="2011-12-04T06:00:00"/>
    <b v="1"/>
    <b v="0"/>
    <s v="music/rock"/>
    <x v="1"/>
    <s v="rock"/>
  </r>
  <r>
    <n v="851"/>
    <s v="Bright and Sons"/>
    <s v="Object-based needs-based info-mediaries"/>
    <n v="6000"/>
    <n v="12468"/>
    <x v="1"/>
    <n v="160"/>
    <s v="US"/>
    <s v="USD"/>
    <n v="207.79999999999998"/>
    <n v="1335934800"/>
    <n v="77.924999999999997"/>
    <n v="1338786000"/>
    <x v="444"/>
    <d v="2012-06-04T05:00:00"/>
    <b v="0"/>
    <b v="0"/>
    <s v="music/electric music"/>
    <x v="1"/>
    <s v="electric music"/>
  </r>
  <r>
    <n v="852"/>
    <s v="Brady Ltd"/>
    <s v="Open-source reciprocal standardization"/>
    <n v="4900"/>
    <n v="2505"/>
    <x v="0"/>
    <n v="31"/>
    <s v="US"/>
    <s v="USD"/>
    <n v="51.122448979591837"/>
    <n v="1310792400"/>
    <n v="80.806451612903231"/>
    <n v="1311656400"/>
    <x v="763"/>
    <d v="2011-07-26T05:00:00"/>
    <b v="0"/>
    <b v="1"/>
    <s v="games/video games"/>
    <x v="6"/>
    <s v="video games"/>
  </r>
  <r>
    <n v="853"/>
    <s v="Collier LLC"/>
    <s v="Secured well-modulated projection"/>
    <n v="17100"/>
    <n v="111502"/>
    <x v="1"/>
    <n v="1467"/>
    <s v="CA"/>
    <s v="CAD"/>
    <n v="652.05847953216369"/>
    <n v="1308546000"/>
    <n v="76.006816632583508"/>
    <n v="1308978000"/>
    <x v="764"/>
    <d v="2011-06-25T05:00:00"/>
    <b v="0"/>
    <b v="1"/>
    <s v="music/indie rock"/>
    <x v="1"/>
    <s v="indie rock"/>
  </r>
  <r>
    <n v="854"/>
    <s v="Campbell, Thomas and Obrien"/>
    <s v="Multi-channeled secondary middleware"/>
    <n v="171000"/>
    <n v="194309"/>
    <x v="1"/>
    <n v="2662"/>
    <s v="CA"/>
    <s v="CAD"/>
    <n v="113.63099415204678"/>
    <n v="1574056800"/>
    <n v="72.993613824192337"/>
    <n v="1576389600"/>
    <x v="765"/>
    <d v="2019-12-15T06:00:00"/>
    <b v="0"/>
    <b v="0"/>
    <s v="publishing/fiction"/>
    <x v="5"/>
    <s v="fiction"/>
  </r>
  <r>
    <n v="855"/>
    <s v="Moses-Terry"/>
    <s v="Horizontal clear-thinking framework"/>
    <n v="23400"/>
    <n v="23956"/>
    <x v="1"/>
    <n v="452"/>
    <s v="AU"/>
    <s v="AUD"/>
    <n v="102.37606837606839"/>
    <n v="1308373200"/>
    <n v="53"/>
    <n v="1311051600"/>
    <x v="766"/>
    <d v="2011-07-19T05:00:00"/>
    <b v="0"/>
    <b v="0"/>
    <s v="theater/plays"/>
    <x v="3"/>
    <s v="plays"/>
  </r>
  <r>
    <n v="856"/>
    <s v="Williams and Sons"/>
    <s v="Profound composite core"/>
    <n v="2400"/>
    <n v="8558"/>
    <x v="1"/>
    <n v="158"/>
    <s v="US"/>
    <s v="USD"/>
    <n v="356.58333333333331"/>
    <n v="1335243600"/>
    <n v="54.164556962025316"/>
    <n v="1336712400"/>
    <x v="767"/>
    <d v="2012-05-11T05:00:00"/>
    <b v="0"/>
    <b v="0"/>
    <s v="food/food trucks"/>
    <x v="0"/>
    <s v="food trucks"/>
  </r>
  <r>
    <n v="857"/>
    <s v="Miranda, Gray and Hale"/>
    <s v="Programmable disintermediate matrices"/>
    <n v="5300"/>
    <n v="7413"/>
    <x v="1"/>
    <n v="225"/>
    <s v="CH"/>
    <s v="CHF"/>
    <n v="139.86792452830187"/>
    <n v="1328421600"/>
    <n v="32.946666666666665"/>
    <n v="1330408800"/>
    <x v="768"/>
    <d v="2012-02-28T06:00:00"/>
    <b v="1"/>
    <b v="0"/>
    <s v="film &amp; video/shorts"/>
    <x v="4"/>
    <s v="shorts"/>
  </r>
  <r>
    <n v="858"/>
    <s v="Ayala, Crawford and Taylor"/>
    <s v="Realigned 5thgeneration knowledge user"/>
    <n v="4000"/>
    <n v="2778"/>
    <x v="0"/>
    <n v="35"/>
    <s v="US"/>
    <s v="USD"/>
    <n v="69.45"/>
    <n v="1524286800"/>
    <n v="79.371428571428567"/>
    <n v="1524891600"/>
    <x v="769"/>
    <d v="2018-04-28T05:00:00"/>
    <b v="1"/>
    <b v="0"/>
    <s v="food/food trucks"/>
    <x v="0"/>
    <s v="food trucks"/>
  </r>
  <r>
    <n v="859"/>
    <s v="Martinez Ltd"/>
    <s v="Multi-layered upward-trending groupware"/>
    <n v="7300"/>
    <n v="2594"/>
    <x v="0"/>
    <n v="63"/>
    <s v="US"/>
    <s v="USD"/>
    <n v="35.534246575342465"/>
    <n v="1362117600"/>
    <n v="41.174603174603178"/>
    <n v="1363669200"/>
    <x v="770"/>
    <d v="2013-03-19T05:00:00"/>
    <b v="0"/>
    <b v="1"/>
    <s v="theater/plays"/>
    <x v="3"/>
    <s v="plays"/>
  </r>
  <r>
    <n v="860"/>
    <s v="Lee PLC"/>
    <s v="Re-contextualized leadingedge firmware"/>
    <n v="2000"/>
    <n v="5033"/>
    <x v="1"/>
    <n v="65"/>
    <s v="US"/>
    <s v="USD"/>
    <n v="251.65"/>
    <n v="1550556000"/>
    <n v="77.430769230769229"/>
    <n v="1551420000"/>
    <x v="771"/>
    <d v="2019-03-01T06:00:00"/>
    <b v="0"/>
    <b v="1"/>
    <s v="technology/wearables"/>
    <x v="2"/>
    <s v="wearables"/>
  </r>
  <r>
    <n v="861"/>
    <s v="Young, Ramsey and Powell"/>
    <s v="Devolved disintermediate analyzer"/>
    <n v="8800"/>
    <n v="9317"/>
    <x v="1"/>
    <n v="163"/>
    <s v="US"/>
    <s v="USD"/>
    <n v="105.87500000000001"/>
    <n v="1269147600"/>
    <n v="57.159509202453989"/>
    <n v="1269838800"/>
    <x v="772"/>
    <d v="2010-03-29T05:00:00"/>
    <b v="0"/>
    <b v="0"/>
    <s v="theater/plays"/>
    <x v="3"/>
    <s v="plays"/>
  </r>
  <r>
    <n v="862"/>
    <s v="Lewis and Sons"/>
    <s v="Profound disintermediate open system"/>
    <n v="3500"/>
    <n v="6560"/>
    <x v="1"/>
    <n v="85"/>
    <s v="US"/>
    <s v="USD"/>
    <n v="187.42857142857144"/>
    <n v="1312174800"/>
    <n v="77.17647058823529"/>
    <n v="1312520400"/>
    <x v="773"/>
    <d v="2011-08-05T05:00:00"/>
    <b v="0"/>
    <b v="0"/>
    <s v="theater/plays"/>
    <x v="3"/>
    <s v="plays"/>
  </r>
  <r>
    <n v="863"/>
    <s v="Davis-Johnson"/>
    <s v="Automated reciprocal protocol"/>
    <n v="1400"/>
    <n v="5415"/>
    <x v="1"/>
    <n v="217"/>
    <s v="US"/>
    <s v="USD"/>
    <n v="386.78571428571428"/>
    <n v="1434517200"/>
    <n v="24.953917050691246"/>
    <n v="1436504400"/>
    <x v="774"/>
    <d v="2015-07-10T05:00:00"/>
    <b v="0"/>
    <b v="1"/>
    <s v="film &amp; video/television"/>
    <x v="4"/>
    <s v="television"/>
  </r>
  <r>
    <n v="864"/>
    <s v="Stevenson-Thompson"/>
    <s v="Automated static workforce"/>
    <n v="4200"/>
    <n v="14577"/>
    <x v="1"/>
    <n v="150"/>
    <s v="US"/>
    <s v="USD"/>
    <n v="347.07142857142856"/>
    <n v="1471582800"/>
    <n v="97.18"/>
    <n v="1472014800"/>
    <x v="775"/>
    <d v="2016-08-24T05:00:00"/>
    <b v="0"/>
    <b v="0"/>
    <s v="film &amp; video/shorts"/>
    <x v="4"/>
    <s v="shorts"/>
  </r>
  <r>
    <n v="865"/>
    <s v="Ellis, Smith and Armstrong"/>
    <s v="Horizontal attitude-oriented help-desk"/>
    <n v="81000"/>
    <n v="150515"/>
    <x v="1"/>
    <n v="3272"/>
    <s v="US"/>
    <s v="USD"/>
    <n v="185.82098765432099"/>
    <n v="1410757200"/>
    <n v="46.000916870415651"/>
    <n v="1411534800"/>
    <x v="776"/>
    <d v="2014-09-24T05:00:00"/>
    <b v="0"/>
    <b v="0"/>
    <s v="theater/plays"/>
    <x v="3"/>
    <s v="plays"/>
  </r>
  <r>
    <n v="866"/>
    <s v="Jackson-Brown"/>
    <s v="Versatile 5thgeneration matrices"/>
    <n v="182800"/>
    <n v="79045"/>
    <x v="3"/>
    <n v="898"/>
    <s v="US"/>
    <s v="USD"/>
    <n v="43.241247264770237"/>
    <n v="1304830800"/>
    <n v="88.023385300668153"/>
    <n v="1304917200"/>
    <x v="777"/>
    <d v="2011-05-09T05:00:00"/>
    <b v="0"/>
    <b v="0"/>
    <s v="photography/photography books"/>
    <x v="7"/>
    <s v="photography books"/>
  </r>
  <r>
    <n v="867"/>
    <s v="Kane, Pruitt and Rivera"/>
    <s v="Cross-platform next generation service-desk"/>
    <n v="4800"/>
    <n v="7797"/>
    <x v="1"/>
    <n v="300"/>
    <s v="US"/>
    <s v="USD"/>
    <n v="162.4375"/>
    <n v="1539061200"/>
    <n v="25.99"/>
    <n v="1539579600"/>
    <x v="778"/>
    <d v="2018-10-15T05:00:00"/>
    <b v="0"/>
    <b v="0"/>
    <s v="food/food trucks"/>
    <x v="0"/>
    <s v="food trucks"/>
  </r>
  <r>
    <n v="868"/>
    <s v="Wood, Buckley and Meza"/>
    <s v="Front-line web-enabled installation"/>
    <n v="7000"/>
    <n v="12939"/>
    <x v="1"/>
    <n v="126"/>
    <s v="US"/>
    <s v="USD"/>
    <n v="184.84285714285716"/>
    <n v="1381554000"/>
    <n v="102.69047619047619"/>
    <n v="1382504400"/>
    <x v="779"/>
    <d v="2013-10-23T05:00:00"/>
    <b v="0"/>
    <b v="0"/>
    <s v="theater/plays"/>
    <x v="3"/>
    <s v="plays"/>
  </r>
  <r>
    <n v="869"/>
    <s v="Brown-Williams"/>
    <s v="Multi-channeled responsive product"/>
    <n v="161900"/>
    <n v="38376"/>
    <x v="0"/>
    <n v="526"/>
    <s v="US"/>
    <s v="USD"/>
    <n v="23.703520691785052"/>
    <n v="1277096400"/>
    <n v="72.958174904942965"/>
    <n v="1278306000"/>
    <x v="780"/>
    <d v="2010-07-05T05:00:00"/>
    <b v="0"/>
    <b v="0"/>
    <s v="film &amp; video/drama"/>
    <x v="4"/>
    <s v="drama"/>
  </r>
  <r>
    <n v="870"/>
    <s v="Hansen-Austin"/>
    <s v="Adaptive demand-driven encryption"/>
    <n v="7700"/>
    <n v="6920"/>
    <x v="0"/>
    <n v="121"/>
    <s v="US"/>
    <s v="USD"/>
    <n v="89.870129870129873"/>
    <n v="1440392400"/>
    <n v="57.190082644628099"/>
    <n v="1442552400"/>
    <x v="335"/>
    <d v="2015-09-18T05:00:00"/>
    <b v="0"/>
    <b v="0"/>
    <s v="theater/plays"/>
    <x v="3"/>
    <s v="plays"/>
  </r>
  <r>
    <n v="871"/>
    <s v="Santana-George"/>
    <s v="Re-engineered client-driven knowledge user"/>
    <n v="71500"/>
    <n v="194912"/>
    <x v="1"/>
    <n v="2320"/>
    <s v="US"/>
    <s v="USD"/>
    <n v="272.6041958041958"/>
    <n v="1509512400"/>
    <n v="84.013793103448279"/>
    <n v="1511071200"/>
    <x v="535"/>
    <d v="2017-11-19T06:00:00"/>
    <b v="0"/>
    <b v="1"/>
    <s v="theater/plays"/>
    <x v="3"/>
    <s v="plays"/>
  </r>
  <r>
    <n v="872"/>
    <s v="Davis LLC"/>
    <s v="Compatible logistical paradigm"/>
    <n v="4700"/>
    <n v="7992"/>
    <x v="1"/>
    <n v="81"/>
    <s v="AU"/>
    <s v="AUD"/>
    <n v="170.04255319148936"/>
    <n v="1535950800"/>
    <n v="98.666666666666671"/>
    <n v="1536382800"/>
    <x v="270"/>
    <d v="2018-09-08T05:00:00"/>
    <b v="0"/>
    <b v="0"/>
    <s v="film &amp; video/science fiction"/>
    <x v="4"/>
    <s v="science fiction"/>
  </r>
  <r>
    <n v="873"/>
    <s v="Vazquez, Ochoa and Clark"/>
    <s v="Intuitive value-added installation"/>
    <n v="42100"/>
    <n v="79268"/>
    <x v="1"/>
    <n v="1887"/>
    <s v="US"/>
    <s v="USD"/>
    <n v="188.28503562945369"/>
    <n v="1389160800"/>
    <n v="42.007419183889773"/>
    <n v="1389592800"/>
    <x v="781"/>
    <d v="2014-01-13T06:00:00"/>
    <b v="0"/>
    <b v="0"/>
    <s v="photography/photography books"/>
    <x v="7"/>
    <s v="photography books"/>
  </r>
  <r>
    <n v="874"/>
    <s v="Chung-Nguyen"/>
    <s v="Managed discrete parallelism"/>
    <n v="40200"/>
    <n v="139468"/>
    <x v="1"/>
    <n v="4358"/>
    <s v="US"/>
    <s v="USD"/>
    <n v="346.93532338308455"/>
    <n v="1271998800"/>
    <n v="32.002753556677376"/>
    <n v="1275282000"/>
    <x v="782"/>
    <d v="2010-05-31T05:00:00"/>
    <b v="0"/>
    <b v="1"/>
    <s v="photography/photography books"/>
    <x v="7"/>
    <s v="photography books"/>
  </r>
  <r>
    <n v="875"/>
    <s v="Mueller-Harmon"/>
    <s v="Implemented tangible approach"/>
    <n v="7900"/>
    <n v="5465"/>
    <x v="0"/>
    <n v="67"/>
    <s v="US"/>
    <s v="USD"/>
    <n v="69.177215189873422"/>
    <n v="1294898400"/>
    <n v="81.567164179104481"/>
    <n v="1294984800"/>
    <x v="783"/>
    <d v="2011-01-14T06:00:00"/>
    <b v="0"/>
    <b v="0"/>
    <s v="music/rock"/>
    <x v="1"/>
    <s v="rock"/>
  </r>
  <r>
    <n v="876"/>
    <s v="Dixon, Perez and Banks"/>
    <s v="Re-engineered encompassing definition"/>
    <n v="8300"/>
    <n v="2111"/>
    <x v="0"/>
    <n v="57"/>
    <s v="CA"/>
    <s v="CAD"/>
    <n v="25.433734939759034"/>
    <n v="1559970000"/>
    <n v="37.035087719298247"/>
    <n v="1562043600"/>
    <x v="784"/>
    <d v="2019-07-02T05:00:00"/>
    <b v="0"/>
    <b v="0"/>
    <s v="photography/photography books"/>
    <x v="7"/>
    <s v="photography books"/>
  </r>
  <r>
    <n v="877"/>
    <s v="Estrada Group"/>
    <s v="Multi-lateral uniform collaboration"/>
    <n v="163600"/>
    <n v="126628"/>
    <x v="0"/>
    <n v="1229"/>
    <s v="US"/>
    <s v="USD"/>
    <n v="77.400977995110026"/>
    <n v="1469509200"/>
    <n v="103.033360455655"/>
    <n v="1469595600"/>
    <x v="785"/>
    <d v="2016-07-27T05:00:00"/>
    <b v="0"/>
    <b v="0"/>
    <s v="food/food trucks"/>
    <x v="0"/>
    <s v="food trucks"/>
  </r>
  <r>
    <n v="878"/>
    <s v="Lutz Group"/>
    <s v="Enterprise-wide foreground paradigm"/>
    <n v="2700"/>
    <n v="1012"/>
    <x v="0"/>
    <n v="12"/>
    <s v="IT"/>
    <s v="EUR"/>
    <n v="37.481481481481481"/>
    <n v="1579068000"/>
    <n v="84.333333333333329"/>
    <n v="1581141600"/>
    <x v="786"/>
    <d v="2020-02-08T06:00:00"/>
    <b v="0"/>
    <b v="0"/>
    <s v="music/metal"/>
    <x v="1"/>
    <s v="metal"/>
  </r>
  <r>
    <n v="879"/>
    <s v="Ortiz Inc"/>
    <s v="Stand-alone incremental parallelism"/>
    <n v="1000"/>
    <n v="5438"/>
    <x v="1"/>
    <n v="53"/>
    <s v="US"/>
    <s v="USD"/>
    <n v="543.79999999999995"/>
    <n v="1487743200"/>
    <n v="102.60377358490567"/>
    <n v="1488520800"/>
    <x v="787"/>
    <d v="2017-03-03T06:00:00"/>
    <b v="0"/>
    <b v="0"/>
    <s v="publishing/nonfiction"/>
    <x v="5"/>
    <s v="nonfiction"/>
  </r>
  <r>
    <n v="880"/>
    <s v="Craig, Ellis and Miller"/>
    <s v="Persevering 5thgeneration throughput"/>
    <n v="84500"/>
    <n v="193101"/>
    <x v="1"/>
    <n v="2414"/>
    <s v="US"/>
    <s v="USD"/>
    <n v="228.52189349112427"/>
    <n v="1563685200"/>
    <n v="79.992129246064621"/>
    <n v="1563858000"/>
    <x v="788"/>
    <d v="2019-07-23T05:00:00"/>
    <b v="0"/>
    <b v="0"/>
    <s v="music/electric music"/>
    <x v="1"/>
    <s v="electric music"/>
  </r>
  <r>
    <n v="881"/>
    <s v="Charles Inc"/>
    <s v="Implemented object-oriented synergy"/>
    <n v="81300"/>
    <n v="31665"/>
    <x v="0"/>
    <n v="452"/>
    <s v="US"/>
    <s v="USD"/>
    <n v="38.948339483394832"/>
    <n v="1436418000"/>
    <n v="70.055309734513273"/>
    <n v="1438923600"/>
    <x v="330"/>
    <d v="2015-08-07T05:00:00"/>
    <b v="0"/>
    <b v="1"/>
    <s v="theater/plays"/>
    <x v="3"/>
    <s v="plays"/>
  </r>
  <r>
    <n v="882"/>
    <s v="White-Rosario"/>
    <s v="Balanced demand-driven definition"/>
    <n v="800"/>
    <n v="2960"/>
    <x v="1"/>
    <n v="80"/>
    <s v="US"/>
    <s v="USD"/>
    <n v="370"/>
    <n v="1421820000"/>
    <n v="37"/>
    <n v="1422165600"/>
    <x v="789"/>
    <d v="2015-01-25T06:00:00"/>
    <b v="0"/>
    <b v="0"/>
    <s v="theater/plays"/>
    <x v="3"/>
    <s v="plays"/>
  </r>
  <r>
    <n v="883"/>
    <s v="Simmons-Villarreal"/>
    <s v="Customer-focused mobile Graphic Interface"/>
    <n v="3400"/>
    <n v="8089"/>
    <x v="1"/>
    <n v="193"/>
    <s v="US"/>
    <s v="USD"/>
    <n v="237.91176470588232"/>
    <n v="1274763600"/>
    <n v="41.911917098445599"/>
    <n v="1277874000"/>
    <x v="790"/>
    <d v="2010-06-30T05:00:00"/>
    <b v="0"/>
    <b v="0"/>
    <s v="film &amp; video/shorts"/>
    <x v="4"/>
    <s v="shorts"/>
  </r>
  <r>
    <n v="884"/>
    <s v="Strickland Group"/>
    <s v="Horizontal secondary interface"/>
    <n v="170800"/>
    <n v="109374"/>
    <x v="0"/>
    <n v="1886"/>
    <s v="US"/>
    <s v="USD"/>
    <n v="64.036299765807954"/>
    <n v="1399179600"/>
    <n v="57.992576882290564"/>
    <n v="1399352400"/>
    <x v="791"/>
    <d v="2014-05-06T05:00:00"/>
    <b v="0"/>
    <b v="1"/>
    <s v="theater/plays"/>
    <x v="3"/>
    <s v="plays"/>
  </r>
  <r>
    <n v="885"/>
    <s v="Lynch Ltd"/>
    <s v="Virtual analyzing collaboration"/>
    <n v="1800"/>
    <n v="2129"/>
    <x v="1"/>
    <n v="52"/>
    <s v="US"/>
    <s v="USD"/>
    <n v="118.27777777777777"/>
    <n v="1275800400"/>
    <n v="40.942307692307693"/>
    <n v="1279083600"/>
    <x v="792"/>
    <d v="2010-07-14T05:00:00"/>
    <b v="0"/>
    <b v="0"/>
    <s v="theater/plays"/>
    <x v="3"/>
    <s v="plays"/>
  </r>
  <r>
    <n v="886"/>
    <s v="Sanders LLC"/>
    <s v="Multi-tiered explicit focus group"/>
    <n v="150600"/>
    <n v="127745"/>
    <x v="0"/>
    <n v="1825"/>
    <s v="US"/>
    <s v="USD"/>
    <n v="84.824037184594957"/>
    <n v="1282798800"/>
    <n v="69.9972602739726"/>
    <n v="1284354000"/>
    <x v="793"/>
    <d v="2010-09-13T05:00:00"/>
    <b v="0"/>
    <b v="0"/>
    <s v="music/indie rock"/>
    <x v="1"/>
    <s v="indie rock"/>
  </r>
  <r>
    <n v="887"/>
    <s v="Cooper LLC"/>
    <s v="Multi-layered systematic knowledgebase"/>
    <n v="7800"/>
    <n v="2289"/>
    <x v="0"/>
    <n v="31"/>
    <s v="US"/>
    <s v="USD"/>
    <n v="29.346153846153843"/>
    <n v="1437109200"/>
    <n v="73.838709677419359"/>
    <n v="1441170000"/>
    <x v="794"/>
    <d v="2015-09-02T05:00:00"/>
    <b v="0"/>
    <b v="1"/>
    <s v="theater/plays"/>
    <x v="3"/>
    <s v="plays"/>
  </r>
  <r>
    <n v="888"/>
    <s v="Palmer Ltd"/>
    <s v="Reverse-engineered uniform knowledge user"/>
    <n v="5800"/>
    <n v="12174"/>
    <x v="1"/>
    <n v="290"/>
    <s v="US"/>
    <s v="USD"/>
    <n v="209.89655172413794"/>
    <n v="1491886800"/>
    <n v="41.979310344827589"/>
    <n v="1493528400"/>
    <x v="795"/>
    <d v="2017-04-30T05:00:00"/>
    <b v="0"/>
    <b v="0"/>
    <s v="theater/plays"/>
    <x v="3"/>
    <s v="plays"/>
  </r>
  <r>
    <n v="889"/>
    <s v="Santos Group"/>
    <s v="Secured dynamic capacity"/>
    <n v="5600"/>
    <n v="9508"/>
    <x v="1"/>
    <n v="122"/>
    <s v="US"/>
    <s v="USD"/>
    <n v="169.78571428571431"/>
    <n v="1394600400"/>
    <n v="77.93442622950819"/>
    <n v="1395205200"/>
    <x v="796"/>
    <d v="2014-03-19T05:00:00"/>
    <b v="0"/>
    <b v="1"/>
    <s v="music/electric music"/>
    <x v="1"/>
    <s v="electric music"/>
  </r>
  <r>
    <n v="890"/>
    <s v="Christian, Kim and Jimenez"/>
    <s v="Devolved foreground throughput"/>
    <n v="134400"/>
    <n v="155849"/>
    <x v="1"/>
    <n v="1470"/>
    <s v="US"/>
    <s v="USD"/>
    <n v="115.95907738095239"/>
    <n v="1561352400"/>
    <n v="106.01972789115646"/>
    <n v="1561438800"/>
    <x v="797"/>
    <d v="2019-06-25T05:00:00"/>
    <b v="0"/>
    <b v="0"/>
    <s v="music/indie rock"/>
    <x v="1"/>
    <s v="indie rock"/>
  </r>
  <r>
    <n v="891"/>
    <s v="Williams, Price and Hurley"/>
    <s v="Synchronized demand-driven infrastructure"/>
    <n v="3000"/>
    <n v="7758"/>
    <x v="1"/>
    <n v="165"/>
    <s v="CA"/>
    <s v="CAD"/>
    <n v="258.59999999999997"/>
    <n v="1322892000"/>
    <n v="47.018181818181816"/>
    <n v="1326693600"/>
    <x v="798"/>
    <d v="2012-01-16T06:00:00"/>
    <b v="0"/>
    <b v="0"/>
    <s v="film &amp; video/documentary"/>
    <x v="4"/>
    <s v="documentary"/>
  </r>
  <r>
    <n v="892"/>
    <s v="Anderson, Parks and Estrada"/>
    <s v="Realigned discrete structure"/>
    <n v="6000"/>
    <n v="13835"/>
    <x v="1"/>
    <n v="182"/>
    <s v="US"/>
    <s v="USD"/>
    <n v="230.58333333333331"/>
    <n v="1274418000"/>
    <n v="76.016483516483518"/>
    <n v="1277960400"/>
    <x v="799"/>
    <d v="2010-07-01T05:00:00"/>
    <b v="0"/>
    <b v="0"/>
    <s v="publishing/translations"/>
    <x v="5"/>
    <s v="translations"/>
  </r>
  <r>
    <n v="893"/>
    <s v="Collins-Martinez"/>
    <s v="Progressive grid-enabled website"/>
    <n v="8400"/>
    <n v="10770"/>
    <x v="1"/>
    <n v="199"/>
    <s v="IT"/>
    <s v="EUR"/>
    <n v="128.21428571428572"/>
    <n v="1434344400"/>
    <n v="54.120603015075375"/>
    <n v="1434690000"/>
    <x v="800"/>
    <d v="2015-06-19T05:00:00"/>
    <b v="0"/>
    <b v="1"/>
    <s v="film &amp; video/documentary"/>
    <x v="4"/>
    <s v="documentary"/>
  </r>
  <r>
    <n v="894"/>
    <s v="Barrett Inc"/>
    <s v="Organic cohesive neural-net"/>
    <n v="1700"/>
    <n v="3208"/>
    <x v="1"/>
    <n v="56"/>
    <s v="GB"/>
    <s v="GBP"/>
    <n v="188.70588235294116"/>
    <n v="1373518800"/>
    <n v="57.285714285714285"/>
    <n v="1376110800"/>
    <x v="801"/>
    <d v="2013-08-10T05:00:00"/>
    <b v="0"/>
    <b v="1"/>
    <s v="film &amp; video/television"/>
    <x v="4"/>
    <s v="television"/>
  </r>
  <r>
    <n v="895"/>
    <s v="Adams-Rollins"/>
    <s v="Integrated demand-driven info-mediaries"/>
    <n v="159800"/>
    <n v="11108"/>
    <x v="0"/>
    <n v="107"/>
    <s v="US"/>
    <s v="USD"/>
    <n v="6.9511889862327907"/>
    <n v="1517637600"/>
    <n v="103.81308411214954"/>
    <n v="1518415200"/>
    <x v="802"/>
    <d v="2018-02-12T06:00:00"/>
    <b v="0"/>
    <b v="0"/>
    <s v="theater/plays"/>
    <x v="3"/>
    <s v="plays"/>
  </r>
  <r>
    <n v="896"/>
    <s v="Wright-Bryant"/>
    <s v="Reverse-engineered client-server extranet"/>
    <n v="19800"/>
    <n v="153338"/>
    <x v="1"/>
    <n v="1460"/>
    <s v="AU"/>
    <s v="AUD"/>
    <n v="774.43434343434342"/>
    <n v="1310619600"/>
    <n v="105.02602739726028"/>
    <n v="1310878800"/>
    <x v="803"/>
    <d v="2011-07-17T05:00:00"/>
    <b v="0"/>
    <b v="1"/>
    <s v="food/food trucks"/>
    <x v="0"/>
    <s v="food trucks"/>
  </r>
  <r>
    <n v="897"/>
    <s v="Berry-Cannon"/>
    <s v="Organized discrete encoding"/>
    <n v="8800"/>
    <n v="2437"/>
    <x v="0"/>
    <n v="27"/>
    <s v="US"/>
    <s v="USD"/>
    <n v="27.693181818181817"/>
    <n v="1556427600"/>
    <n v="90.259259259259252"/>
    <n v="1556600400"/>
    <x v="212"/>
    <d v="2019-04-30T05:00:00"/>
    <b v="0"/>
    <b v="0"/>
    <s v="theater/plays"/>
    <x v="3"/>
    <s v="plays"/>
  </r>
  <r>
    <n v="898"/>
    <s v="Davis-Gonzalez"/>
    <s v="Balanced regional flexibility"/>
    <n v="179100"/>
    <n v="93991"/>
    <x v="0"/>
    <n v="1221"/>
    <s v="US"/>
    <s v="USD"/>
    <n v="52.479620323841424"/>
    <n v="1576476000"/>
    <n v="76.978705978705975"/>
    <n v="1576994400"/>
    <x v="804"/>
    <d v="2019-12-22T06:00:00"/>
    <b v="0"/>
    <b v="0"/>
    <s v="film &amp; video/documentary"/>
    <x v="4"/>
    <s v="documentary"/>
  </r>
  <r>
    <n v="899"/>
    <s v="Best-Young"/>
    <s v="Implemented multimedia time-frame"/>
    <n v="3100"/>
    <n v="12620"/>
    <x v="1"/>
    <n v="123"/>
    <s v="CH"/>
    <s v="CHF"/>
    <n v="407.09677419354841"/>
    <n v="1381122000"/>
    <n v="102.60162601626017"/>
    <n v="1382677200"/>
    <x v="805"/>
    <d v="2013-10-25T05:00:00"/>
    <b v="0"/>
    <b v="0"/>
    <s v="music/jazz"/>
    <x v="1"/>
    <s v="jazz"/>
  </r>
  <r>
    <n v="900"/>
    <s v="Powers, Smith and Deleon"/>
    <s v="Enhanced uniform service-desk"/>
    <n v="100"/>
    <n v="2"/>
    <x v="0"/>
    <n v="1"/>
    <s v="US"/>
    <s v="USD"/>
    <n v="2"/>
    <n v="1411102800"/>
    <n v="2"/>
    <n v="1411189200"/>
    <x v="806"/>
    <d v="2014-09-20T05:00:00"/>
    <b v="0"/>
    <b v="1"/>
    <s v="technology/web"/>
    <x v="2"/>
    <s v="web"/>
  </r>
  <r>
    <n v="901"/>
    <s v="Hogan Group"/>
    <s v="Versatile bottom-line definition"/>
    <n v="5600"/>
    <n v="8746"/>
    <x v="1"/>
    <n v="159"/>
    <s v="US"/>
    <s v="USD"/>
    <n v="156.17857142857144"/>
    <n v="1531803600"/>
    <n v="55.0062893081761"/>
    <n v="1534654800"/>
    <x v="807"/>
    <d v="2018-08-19T05:00:00"/>
    <b v="0"/>
    <b v="1"/>
    <s v="music/rock"/>
    <x v="1"/>
    <s v="rock"/>
  </r>
  <r>
    <n v="902"/>
    <s v="Wang, Silva and Byrd"/>
    <s v="Integrated bifurcated software"/>
    <n v="1400"/>
    <n v="3534"/>
    <x v="1"/>
    <n v="110"/>
    <s v="US"/>
    <s v="USD"/>
    <n v="252.42857142857144"/>
    <n v="1454133600"/>
    <n v="32.127272727272725"/>
    <n v="1457762400"/>
    <x v="722"/>
    <d v="2016-03-12T06:00:00"/>
    <b v="0"/>
    <b v="0"/>
    <s v="technology/web"/>
    <x v="2"/>
    <s v="web"/>
  </r>
  <r>
    <n v="903"/>
    <s v="Parker-Morris"/>
    <s v="Assimilated next generation instruction set"/>
    <n v="41000"/>
    <n v="709"/>
    <x v="2"/>
    <n v="14"/>
    <s v="US"/>
    <s v="USD"/>
    <n v="1.729268292682927"/>
    <n v="1336194000"/>
    <n v="50.642857142857146"/>
    <n v="1337490000"/>
    <x v="477"/>
    <d v="2012-05-20T05:00:00"/>
    <b v="0"/>
    <b v="1"/>
    <s v="publishing/nonfiction"/>
    <x v="5"/>
    <s v="nonfiction"/>
  </r>
  <r>
    <n v="904"/>
    <s v="Rodriguez, Johnson and Jackson"/>
    <s v="Digitized foreground array"/>
    <n v="6500"/>
    <n v="795"/>
    <x v="0"/>
    <n v="16"/>
    <s v="US"/>
    <s v="USD"/>
    <n v="12.230769230769232"/>
    <n v="1349326800"/>
    <n v="49.6875"/>
    <n v="1349672400"/>
    <x v="259"/>
    <d v="2012-10-08T05:00:00"/>
    <b v="0"/>
    <b v="0"/>
    <s v="publishing/radio &amp; podcasts"/>
    <x v="5"/>
    <s v="radio &amp; podcasts"/>
  </r>
  <r>
    <n v="905"/>
    <s v="Haynes PLC"/>
    <s v="Re-engineered clear-thinking project"/>
    <n v="7900"/>
    <n v="12955"/>
    <x v="1"/>
    <n v="236"/>
    <s v="US"/>
    <s v="USD"/>
    <n v="163.98734177215189"/>
    <n v="1379566800"/>
    <n v="54.894067796610166"/>
    <n v="1379826000"/>
    <x v="9"/>
    <d v="2013-09-22T05:00:00"/>
    <b v="0"/>
    <b v="0"/>
    <s v="theater/plays"/>
    <x v="3"/>
    <s v="plays"/>
  </r>
  <r>
    <n v="906"/>
    <s v="Hayes Group"/>
    <s v="Implemented even-keeled standardization"/>
    <n v="5500"/>
    <n v="8964"/>
    <x v="1"/>
    <n v="191"/>
    <s v="US"/>
    <s v="USD"/>
    <n v="162.98181818181817"/>
    <n v="1494651600"/>
    <n v="46.931937172774866"/>
    <n v="1497762000"/>
    <x v="808"/>
    <d v="2017-06-18T05:00:00"/>
    <b v="1"/>
    <b v="1"/>
    <s v="film &amp; video/documentary"/>
    <x v="4"/>
    <s v="documentary"/>
  </r>
  <r>
    <n v="907"/>
    <s v="White, Pena and Calhoun"/>
    <s v="Quality-focused asymmetric adapter"/>
    <n v="9100"/>
    <n v="1843"/>
    <x v="0"/>
    <n v="41"/>
    <s v="US"/>
    <s v="USD"/>
    <n v="20.252747252747252"/>
    <n v="1303880400"/>
    <n v="44.951219512195124"/>
    <n v="1304485200"/>
    <x v="809"/>
    <d v="2011-05-04T05:00:00"/>
    <b v="0"/>
    <b v="0"/>
    <s v="theater/plays"/>
    <x v="3"/>
    <s v="plays"/>
  </r>
  <r>
    <n v="908"/>
    <s v="Bryant-Pope"/>
    <s v="Networked intangible help-desk"/>
    <n v="38200"/>
    <n v="121950"/>
    <x v="1"/>
    <n v="3934"/>
    <s v="US"/>
    <s v="USD"/>
    <n v="319.24083769633506"/>
    <n v="1335934800"/>
    <n v="30.99898322318251"/>
    <n v="1336885200"/>
    <x v="444"/>
    <d v="2012-05-13T05:00:00"/>
    <b v="0"/>
    <b v="0"/>
    <s v="games/video games"/>
    <x v="6"/>
    <s v="video games"/>
  </r>
  <r>
    <n v="909"/>
    <s v="Gates, Li and Thompson"/>
    <s v="Synchronized attitude-oriented frame"/>
    <n v="1800"/>
    <n v="8621"/>
    <x v="1"/>
    <n v="80"/>
    <s v="CA"/>
    <s v="CAD"/>
    <n v="478.94444444444446"/>
    <n v="1528088400"/>
    <n v="107.7625"/>
    <n v="1530421200"/>
    <x v="384"/>
    <d v="2018-07-01T05:00:00"/>
    <b v="0"/>
    <b v="1"/>
    <s v="theater/plays"/>
    <x v="3"/>
    <s v="plays"/>
  </r>
  <r>
    <n v="910"/>
    <s v="King-Morris"/>
    <s v="Proactive incremental architecture"/>
    <n v="154500"/>
    <n v="30215"/>
    <x v="3"/>
    <n v="296"/>
    <s v="US"/>
    <s v="USD"/>
    <n v="19.556634304207122"/>
    <n v="1421906400"/>
    <n v="102.07770270270271"/>
    <n v="1421992800"/>
    <x v="810"/>
    <d v="2015-01-23T06:00:00"/>
    <b v="0"/>
    <b v="0"/>
    <s v="theater/plays"/>
    <x v="3"/>
    <s v="plays"/>
  </r>
  <r>
    <n v="911"/>
    <s v="Carter, Cole and Curtis"/>
    <s v="Cloned responsive standardization"/>
    <n v="5800"/>
    <n v="11539"/>
    <x v="1"/>
    <n v="462"/>
    <s v="US"/>
    <s v="USD"/>
    <n v="198.94827586206895"/>
    <n v="1568005200"/>
    <n v="24.976190476190474"/>
    <n v="1568178000"/>
    <x v="811"/>
    <d v="2019-09-11T05:00:00"/>
    <b v="1"/>
    <b v="0"/>
    <s v="technology/web"/>
    <x v="2"/>
    <s v="web"/>
  </r>
  <r>
    <n v="912"/>
    <s v="Sanchez-Parsons"/>
    <s v="Reduced bifurcated pricing structure"/>
    <n v="1800"/>
    <n v="14310"/>
    <x v="1"/>
    <n v="179"/>
    <s v="US"/>
    <s v="USD"/>
    <n v="795"/>
    <n v="1346821200"/>
    <n v="79.944134078212286"/>
    <n v="1347944400"/>
    <x v="812"/>
    <d v="2012-09-18T05:00:00"/>
    <b v="1"/>
    <b v="0"/>
    <s v="film &amp; video/drama"/>
    <x v="4"/>
    <s v="drama"/>
  </r>
  <r>
    <n v="913"/>
    <s v="Rivera-Pearson"/>
    <s v="Re-engineered asymmetric challenge"/>
    <n v="70200"/>
    <n v="35536"/>
    <x v="0"/>
    <n v="523"/>
    <s v="AU"/>
    <s v="AUD"/>
    <n v="50.621082621082621"/>
    <n v="1557637200"/>
    <n v="67.946462715105156"/>
    <n v="1558760400"/>
    <x v="813"/>
    <d v="2019-05-25T05:00:00"/>
    <b v="0"/>
    <b v="0"/>
    <s v="film &amp; video/drama"/>
    <x v="4"/>
    <s v="drama"/>
  </r>
  <r>
    <n v="914"/>
    <s v="Ramirez, Padilla and Barrera"/>
    <s v="Diverse client-driven conglomeration"/>
    <n v="6400"/>
    <n v="3676"/>
    <x v="0"/>
    <n v="141"/>
    <s v="GB"/>
    <s v="GBP"/>
    <n v="57.4375"/>
    <n v="1375592400"/>
    <n v="26.070921985815602"/>
    <n v="1376629200"/>
    <x v="814"/>
    <d v="2013-08-16T05:00:00"/>
    <b v="0"/>
    <b v="0"/>
    <s v="theater/plays"/>
    <x v="3"/>
    <s v="plays"/>
  </r>
  <r>
    <n v="915"/>
    <s v="Riggs Group"/>
    <s v="Configurable upward-trending solution"/>
    <n v="125900"/>
    <n v="195936"/>
    <x v="1"/>
    <n v="1866"/>
    <s v="GB"/>
    <s v="GBP"/>
    <n v="155.62827640984909"/>
    <n v="1503982800"/>
    <n v="105.0032154340836"/>
    <n v="1504760400"/>
    <x v="80"/>
    <d v="2017-09-07T05:00:00"/>
    <b v="0"/>
    <b v="0"/>
    <s v="film &amp; video/television"/>
    <x v="4"/>
    <s v="television"/>
  </r>
  <r>
    <n v="916"/>
    <s v="Clements Ltd"/>
    <s v="Persistent bandwidth-monitored framework"/>
    <n v="3700"/>
    <n v="1343"/>
    <x v="0"/>
    <n v="52"/>
    <s v="US"/>
    <s v="USD"/>
    <n v="36.297297297297298"/>
    <n v="1418882400"/>
    <n v="25.826923076923077"/>
    <n v="1419660000"/>
    <x v="815"/>
    <d v="2014-12-27T06:00:00"/>
    <b v="0"/>
    <b v="0"/>
    <s v="photography/photography books"/>
    <x v="7"/>
    <s v="photography books"/>
  </r>
  <r>
    <n v="917"/>
    <s v="Cooper Inc"/>
    <s v="Polarized discrete product"/>
    <n v="3600"/>
    <n v="2097"/>
    <x v="2"/>
    <n v="27"/>
    <s v="GB"/>
    <s v="GBP"/>
    <n v="58.25"/>
    <n v="1309237200"/>
    <n v="77.666666666666671"/>
    <n v="1311310800"/>
    <x v="816"/>
    <d v="2011-07-22T05:00:00"/>
    <b v="0"/>
    <b v="1"/>
    <s v="film &amp; video/shorts"/>
    <x v="4"/>
    <s v="shorts"/>
  </r>
  <r>
    <n v="918"/>
    <s v="Jones-Gonzalez"/>
    <s v="Seamless dynamic website"/>
    <n v="3800"/>
    <n v="9021"/>
    <x v="1"/>
    <n v="156"/>
    <s v="CH"/>
    <s v="CHF"/>
    <n v="237.39473684210526"/>
    <n v="1343365200"/>
    <n v="57.82692307692308"/>
    <n v="1344315600"/>
    <x v="474"/>
    <d v="2012-08-07T05:00:00"/>
    <b v="0"/>
    <b v="0"/>
    <s v="publishing/radio &amp; podcasts"/>
    <x v="5"/>
    <s v="radio &amp; podcasts"/>
  </r>
  <r>
    <n v="919"/>
    <s v="Fox Ltd"/>
    <s v="Extended multimedia firmware"/>
    <n v="35600"/>
    <n v="20915"/>
    <x v="0"/>
    <n v="225"/>
    <s v="AU"/>
    <s v="AUD"/>
    <n v="58.75"/>
    <n v="1507957200"/>
    <n v="92.955555555555549"/>
    <n v="1510725600"/>
    <x v="817"/>
    <d v="2017-11-15T06:00:00"/>
    <b v="0"/>
    <b v="1"/>
    <s v="theater/plays"/>
    <x v="3"/>
    <s v="plays"/>
  </r>
  <r>
    <n v="920"/>
    <s v="Green, Murphy and Webb"/>
    <s v="Versatile directional project"/>
    <n v="5300"/>
    <n v="9676"/>
    <x v="1"/>
    <n v="255"/>
    <s v="US"/>
    <s v="USD"/>
    <n v="182.56603773584905"/>
    <n v="1549519200"/>
    <n v="37.945098039215686"/>
    <n v="1551247200"/>
    <x v="818"/>
    <d v="2019-02-27T06:00:00"/>
    <b v="1"/>
    <b v="0"/>
    <s v="film &amp; video/animation"/>
    <x v="4"/>
    <s v="animation"/>
  </r>
  <r>
    <n v="921"/>
    <s v="Stevenson PLC"/>
    <s v="Profound directional knowledge user"/>
    <n v="160400"/>
    <n v="1210"/>
    <x v="0"/>
    <n v="38"/>
    <s v="US"/>
    <s v="USD"/>
    <n v="0.75436408977556113"/>
    <n v="1329026400"/>
    <n v="31.842105263157894"/>
    <n v="1330236000"/>
    <x v="819"/>
    <d v="2012-02-26T06:00:00"/>
    <b v="0"/>
    <b v="0"/>
    <s v="technology/web"/>
    <x v="2"/>
    <s v="web"/>
  </r>
  <r>
    <n v="922"/>
    <s v="Soto-Anthony"/>
    <s v="Ameliorated logistical capability"/>
    <n v="51400"/>
    <n v="90440"/>
    <x v="1"/>
    <n v="2261"/>
    <s v="US"/>
    <s v="USD"/>
    <n v="175.95330739299609"/>
    <n v="1544335200"/>
    <n v="40"/>
    <n v="1545112800"/>
    <x v="609"/>
    <d v="2018-12-18T06:00:00"/>
    <b v="0"/>
    <b v="1"/>
    <s v="music/world music"/>
    <x v="1"/>
    <s v="world music"/>
  </r>
  <r>
    <n v="923"/>
    <s v="Wise and Sons"/>
    <s v="Sharable discrete definition"/>
    <n v="1700"/>
    <n v="4044"/>
    <x v="1"/>
    <n v="40"/>
    <s v="US"/>
    <s v="USD"/>
    <n v="237.88235294117646"/>
    <n v="1279083600"/>
    <n v="101.1"/>
    <n v="1279170000"/>
    <x v="547"/>
    <d v="2010-07-15T05:00:00"/>
    <b v="0"/>
    <b v="0"/>
    <s v="theater/plays"/>
    <x v="3"/>
    <s v="plays"/>
  </r>
  <r>
    <n v="924"/>
    <s v="Butler-Barr"/>
    <s v="User-friendly next generation core"/>
    <n v="39400"/>
    <n v="192292"/>
    <x v="1"/>
    <n v="2289"/>
    <s v="IT"/>
    <s v="EUR"/>
    <n v="488.05076142131981"/>
    <n v="1572498000"/>
    <n v="84.006989951944078"/>
    <n v="1573452000"/>
    <x v="820"/>
    <d v="2019-11-11T06:00:00"/>
    <b v="0"/>
    <b v="0"/>
    <s v="theater/plays"/>
    <x v="3"/>
    <s v="plays"/>
  </r>
  <r>
    <n v="925"/>
    <s v="Wilson, Jefferson and Anderson"/>
    <s v="Profit-focused empowering system engine"/>
    <n v="3000"/>
    <n v="6722"/>
    <x v="1"/>
    <n v="65"/>
    <s v="US"/>
    <s v="USD"/>
    <n v="224.06666666666669"/>
    <n v="1506056400"/>
    <n v="103.41538461538461"/>
    <n v="1507093200"/>
    <x v="821"/>
    <d v="2017-10-04T05:00:00"/>
    <b v="0"/>
    <b v="0"/>
    <s v="theater/plays"/>
    <x v="3"/>
    <s v="plays"/>
  </r>
  <r>
    <n v="926"/>
    <s v="Brown-Oliver"/>
    <s v="Synchronized cohesive encoding"/>
    <n v="8700"/>
    <n v="1577"/>
    <x v="0"/>
    <n v="15"/>
    <s v="US"/>
    <s v="USD"/>
    <n v="18.126436781609197"/>
    <n v="1463029200"/>
    <n v="105.13333333333334"/>
    <n v="1463374800"/>
    <x v="151"/>
    <d v="2016-05-16T05:00:00"/>
    <b v="0"/>
    <b v="0"/>
    <s v="food/food trucks"/>
    <x v="0"/>
    <s v="food trucks"/>
  </r>
  <r>
    <n v="927"/>
    <s v="Davis-Gardner"/>
    <s v="Synergistic dynamic utilization"/>
    <n v="7200"/>
    <n v="3301"/>
    <x v="0"/>
    <n v="37"/>
    <s v="US"/>
    <s v="USD"/>
    <n v="45.847222222222221"/>
    <n v="1342069200"/>
    <n v="89.21621621621621"/>
    <n v="1344574800"/>
    <x v="822"/>
    <d v="2012-08-10T05:00:00"/>
    <b v="0"/>
    <b v="0"/>
    <s v="theater/plays"/>
    <x v="3"/>
    <s v="plays"/>
  </r>
  <r>
    <n v="928"/>
    <s v="Dawson Group"/>
    <s v="Triple-buffered bi-directional model"/>
    <n v="167400"/>
    <n v="196386"/>
    <x v="1"/>
    <n v="3777"/>
    <s v="IT"/>
    <s v="EUR"/>
    <n v="117.31541218637993"/>
    <n v="1388296800"/>
    <n v="51.995234312946785"/>
    <n v="1389074400"/>
    <x v="823"/>
    <d v="2014-01-07T06:00:00"/>
    <b v="0"/>
    <b v="0"/>
    <s v="technology/web"/>
    <x v="2"/>
    <s v="web"/>
  </r>
  <r>
    <n v="929"/>
    <s v="Turner-Terrell"/>
    <s v="Polarized tertiary function"/>
    <n v="5500"/>
    <n v="11952"/>
    <x v="1"/>
    <n v="184"/>
    <s v="GB"/>
    <s v="GBP"/>
    <n v="217.30909090909088"/>
    <n v="1493787600"/>
    <n v="64.956521739130437"/>
    <n v="1494997200"/>
    <x v="824"/>
    <d v="2017-05-17T05:00:00"/>
    <b v="0"/>
    <b v="0"/>
    <s v="theater/plays"/>
    <x v="3"/>
    <s v="plays"/>
  </r>
  <r>
    <n v="930"/>
    <s v="Hall, Buchanan and Benton"/>
    <s v="Configurable fault-tolerant structure"/>
    <n v="3500"/>
    <n v="3930"/>
    <x v="1"/>
    <n v="85"/>
    <s v="US"/>
    <s v="USD"/>
    <n v="112.28571428571428"/>
    <n v="1424844000"/>
    <n v="46.235294117647058"/>
    <n v="1425448800"/>
    <x v="825"/>
    <d v="2015-03-04T06:00:00"/>
    <b v="0"/>
    <b v="1"/>
    <s v="theater/plays"/>
    <x v="3"/>
    <s v="plays"/>
  </r>
  <r>
    <n v="931"/>
    <s v="Lowery, Hayden and Cruz"/>
    <s v="Digitized 24/7 budgetary management"/>
    <n v="7900"/>
    <n v="5729"/>
    <x v="0"/>
    <n v="112"/>
    <s v="US"/>
    <s v="USD"/>
    <n v="72.51898734177216"/>
    <n v="1403931600"/>
    <n v="51.151785714285715"/>
    <n v="1404104400"/>
    <x v="826"/>
    <d v="2014-06-30T05:00:00"/>
    <b v="0"/>
    <b v="1"/>
    <s v="theater/plays"/>
    <x v="3"/>
    <s v="plays"/>
  </r>
  <r>
    <n v="932"/>
    <s v="Mora, Miller and Harper"/>
    <s v="Stand-alone zero tolerance algorithm"/>
    <n v="2300"/>
    <n v="4883"/>
    <x v="1"/>
    <n v="144"/>
    <s v="US"/>
    <s v="USD"/>
    <n v="212.30434782608697"/>
    <n v="1394514000"/>
    <n v="33.909722222222221"/>
    <n v="1394773200"/>
    <x v="827"/>
    <d v="2014-03-14T05:00:00"/>
    <b v="0"/>
    <b v="0"/>
    <s v="music/rock"/>
    <x v="1"/>
    <s v="rock"/>
  </r>
  <r>
    <n v="933"/>
    <s v="Espinoza Group"/>
    <s v="Implemented tangible support"/>
    <n v="73000"/>
    <n v="175015"/>
    <x v="1"/>
    <n v="1902"/>
    <s v="US"/>
    <s v="USD"/>
    <n v="239.74657534246577"/>
    <n v="1365397200"/>
    <n v="92.016298633017882"/>
    <n v="1366520400"/>
    <x v="828"/>
    <d v="2013-04-21T05:00:00"/>
    <b v="0"/>
    <b v="0"/>
    <s v="theater/plays"/>
    <x v="3"/>
    <s v="plays"/>
  </r>
  <r>
    <n v="934"/>
    <s v="Davis, Crawford and Lopez"/>
    <s v="Reactive radical framework"/>
    <n v="6200"/>
    <n v="11280"/>
    <x v="1"/>
    <n v="105"/>
    <s v="US"/>
    <s v="USD"/>
    <n v="181.93548387096774"/>
    <n v="1456120800"/>
    <n v="107.42857142857143"/>
    <n v="1456639200"/>
    <x v="829"/>
    <d v="2016-02-28T06:00:00"/>
    <b v="0"/>
    <b v="0"/>
    <s v="theater/plays"/>
    <x v="3"/>
    <s v="plays"/>
  </r>
  <r>
    <n v="935"/>
    <s v="Richards, Stevens and Fleming"/>
    <s v="Object-based full-range knowledge user"/>
    <n v="6100"/>
    <n v="10012"/>
    <x v="1"/>
    <n v="132"/>
    <s v="US"/>
    <s v="USD"/>
    <n v="164.13114754098362"/>
    <n v="1437714000"/>
    <n v="75.848484848484844"/>
    <n v="1438318800"/>
    <x v="830"/>
    <d v="2015-07-31T05:00:00"/>
    <b v="0"/>
    <b v="0"/>
    <s v="theater/plays"/>
    <x v="3"/>
    <s v="plays"/>
  </r>
  <r>
    <n v="936"/>
    <s v="Brown Ltd"/>
    <s v="Enhanced composite contingency"/>
    <n v="103200"/>
    <n v="1690"/>
    <x v="0"/>
    <n v="21"/>
    <s v="US"/>
    <s v="USD"/>
    <n v="1.6375968992248062"/>
    <n v="1563771600"/>
    <n v="80.476190476190482"/>
    <n v="1564030800"/>
    <x v="831"/>
    <d v="2019-07-25T05:00:00"/>
    <b v="1"/>
    <b v="0"/>
    <s v="theater/plays"/>
    <x v="3"/>
    <s v="plays"/>
  </r>
  <r>
    <n v="937"/>
    <s v="Tapia, Sandoval and Hurley"/>
    <s v="Cloned fresh-thinking model"/>
    <n v="171000"/>
    <n v="84891"/>
    <x v="3"/>
    <n v="976"/>
    <s v="US"/>
    <s v="USD"/>
    <n v="49.64385964912281"/>
    <n v="1448517600"/>
    <n v="86.978483606557376"/>
    <n v="1449295200"/>
    <x v="832"/>
    <d v="2015-12-05T06:00:00"/>
    <b v="0"/>
    <b v="0"/>
    <s v="film &amp; video/documentary"/>
    <x v="4"/>
    <s v="documentary"/>
  </r>
  <r>
    <n v="938"/>
    <s v="Allen Inc"/>
    <s v="Total dedicated benchmark"/>
    <n v="9200"/>
    <n v="10093"/>
    <x v="1"/>
    <n v="96"/>
    <s v="US"/>
    <s v="USD"/>
    <n v="109.70652173913042"/>
    <n v="1528779600"/>
    <n v="105.13541666666667"/>
    <n v="1531890000"/>
    <x v="833"/>
    <d v="2018-07-18T05:00:00"/>
    <b v="0"/>
    <b v="1"/>
    <s v="publishing/fiction"/>
    <x v="5"/>
    <s v="fiction"/>
  </r>
  <r>
    <n v="939"/>
    <s v="Williams, Johnson and Campbell"/>
    <s v="Streamlined human-resource Graphic Interface"/>
    <n v="7800"/>
    <n v="3839"/>
    <x v="0"/>
    <n v="67"/>
    <s v="US"/>
    <s v="USD"/>
    <n v="49.217948717948715"/>
    <n v="1304744400"/>
    <n v="57.298507462686565"/>
    <n v="1306213200"/>
    <x v="834"/>
    <d v="2011-05-24T05:00:00"/>
    <b v="0"/>
    <b v="1"/>
    <s v="games/video games"/>
    <x v="6"/>
    <s v="video games"/>
  </r>
  <r>
    <n v="940"/>
    <s v="Wiggins Ltd"/>
    <s v="Upgradable analyzing core"/>
    <n v="9900"/>
    <n v="6161"/>
    <x v="2"/>
    <n v="66"/>
    <s v="CA"/>
    <s v="CAD"/>
    <n v="62.232323232323225"/>
    <n v="1354341600"/>
    <n v="93.348484848484844"/>
    <n v="1356242400"/>
    <x v="835"/>
    <d v="2012-12-23T06:00:00"/>
    <b v="0"/>
    <b v="0"/>
    <s v="technology/web"/>
    <x v="2"/>
    <s v="web"/>
  </r>
  <r>
    <n v="941"/>
    <s v="Luna-Horne"/>
    <s v="Profound exuding pricing structure"/>
    <n v="43000"/>
    <n v="5615"/>
    <x v="0"/>
    <n v="78"/>
    <s v="US"/>
    <s v="USD"/>
    <n v="13.05813953488372"/>
    <n v="1294552800"/>
    <n v="71.987179487179489"/>
    <n v="1297576800"/>
    <x v="836"/>
    <d v="2011-02-13T06:00:00"/>
    <b v="1"/>
    <b v="0"/>
    <s v="theater/plays"/>
    <x v="3"/>
    <s v="plays"/>
  </r>
  <r>
    <n v="942"/>
    <s v="Allen Inc"/>
    <s v="Horizontal optimizing model"/>
    <n v="9600"/>
    <n v="6205"/>
    <x v="0"/>
    <n v="67"/>
    <s v="AU"/>
    <s v="AUD"/>
    <n v="64.635416666666671"/>
    <n v="1295935200"/>
    <n v="92.611940298507463"/>
    <n v="1296194400"/>
    <x v="837"/>
    <d v="2011-01-28T06:00:00"/>
    <b v="0"/>
    <b v="0"/>
    <s v="theater/plays"/>
    <x v="3"/>
    <s v="plays"/>
  </r>
  <r>
    <n v="943"/>
    <s v="Peterson, Gonzalez and Spencer"/>
    <s v="Synchronized fault-tolerant algorithm"/>
    <n v="7500"/>
    <n v="11969"/>
    <x v="1"/>
    <n v="114"/>
    <s v="US"/>
    <s v="USD"/>
    <n v="159.58666666666667"/>
    <n v="1411534800"/>
    <n v="104.99122807017544"/>
    <n v="1414558800"/>
    <x v="219"/>
    <d v="2014-10-29T05:00:00"/>
    <b v="0"/>
    <b v="0"/>
    <s v="food/food trucks"/>
    <x v="0"/>
    <s v="food trucks"/>
  </r>
  <r>
    <n v="944"/>
    <s v="Walter Inc"/>
    <s v="Streamlined 5thgeneration intranet"/>
    <n v="10000"/>
    <n v="8142"/>
    <x v="0"/>
    <n v="263"/>
    <s v="AU"/>
    <s v="AUD"/>
    <n v="81.42"/>
    <n v="1486706400"/>
    <n v="30.958174904942965"/>
    <n v="1488348000"/>
    <x v="365"/>
    <d v="2017-03-01T06:00:00"/>
    <b v="0"/>
    <b v="0"/>
    <s v="photography/photography books"/>
    <x v="7"/>
    <s v="photography books"/>
  </r>
  <r>
    <n v="945"/>
    <s v="Sanders, Farley and Huffman"/>
    <s v="Cross-group clear-thinking task-force"/>
    <n v="172000"/>
    <n v="55805"/>
    <x v="0"/>
    <n v="1691"/>
    <s v="US"/>
    <s v="USD"/>
    <n v="32.444767441860463"/>
    <n v="1333602000"/>
    <n v="33.001182732111175"/>
    <n v="1334898000"/>
    <x v="838"/>
    <d v="2012-04-20T05:00:00"/>
    <b v="1"/>
    <b v="0"/>
    <s v="photography/photography books"/>
    <x v="7"/>
    <s v="photography books"/>
  </r>
  <r>
    <n v="946"/>
    <s v="Hall, Holmes and Walker"/>
    <s v="Public-key bandwidth-monitored intranet"/>
    <n v="153700"/>
    <n v="15238"/>
    <x v="0"/>
    <n v="181"/>
    <s v="US"/>
    <s v="USD"/>
    <n v="9.9141184124918666"/>
    <n v="1308200400"/>
    <n v="84.187845303867405"/>
    <n v="1308373200"/>
    <x v="839"/>
    <d v="2011-06-18T05:00:00"/>
    <b v="0"/>
    <b v="0"/>
    <s v="theater/plays"/>
    <x v="3"/>
    <s v="plays"/>
  </r>
  <r>
    <n v="947"/>
    <s v="Smith-Powell"/>
    <s v="Upgradable clear-thinking hardware"/>
    <n v="3600"/>
    <n v="961"/>
    <x v="0"/>
    <n v="13"/>
    <s v="US"/>
    <s v="USD"/>
    <n v="26.694444444444443"/>
    <n v="1411707600"/>
    <n v="73.92307692307692"/>
    <n v="1412312400"/>
    <x v="840"/>
    <d v="2014-10-03T05:00:00"/>
    <b v="0"/>
    <b v="0"/>
    <s v="theater/plays"/>
    <x v="3"/>
    <s v="plays"/>
  </r>
  <r>
    <n v="948"/>
    <s v="Smith-Hill"/>
    <s v="Integrated holistic paradigm"/>
    <n v="9400"/>
    <n v="5918"/>
    <x v="3"/>
    <n v="160"/>
    <s v="US"/>
    <s v="USD"/>
    <n v="62.957446808510639"/>
    <n v="1418364000"/>
    <n v="36.987499999999997"/>
    <n v="1419228000"/>
    <x v="841"/>
    <d v="2014-12-22T06:00:00"/>
    <b v="1"/>
    <b v="1"/>
    <s v="film &amp; video/documentary"/>
    <x v="4"/>
    <s v="documentary"/>
  </r>
  <r>
    <n v="949"/>
    <s v="Wright LLC"/>
    <s v="Seamless clear-thinking conglomeration"/>
    <n v="5900"/>
    <n v="9520"/>
    <x v="1"/>
    <n v="203"/>
    <s v="US"/>
    <s v="USD"/>
    <n v="161.35593220338984"/>
    <n v="1429333200"/>
    <n v="46.896551724137929"/>
    <n v="1430974800"/>
    <x v="842"/>
    <d v="2015-05-07T05:00:00"/>
    <b v="0"/>
    <b v="0"/>
    <s v="technology/web"/>
    <x v="2"/>
    <s v="web"/>
  </r>
  <r>
    <n v="950"/>
    <s v="Williams, Orozco and Gomez"/>
    <s v="Persistent content-based methodology"/>
    <n v="100"/>
    <n v="5"/>
    <x v="0"/>
    <n v="1"/>
    <s v="US"/>
    <s v="USD"/>
    <n v="5"/>
    <n v="1555390800"/>
    <n v="5"/>
    <n v="1555822800"/>
    <x v="843"/>
    <d v="2019-04-21T05:00:00"/>
    <b v="0"/>
    <b v="1"/>
    <s v="theater/plays"/>
    <x v="3"/>
    <s v="plays"/>
  </r>
  <r>
    <n v="951"/>
    <s v="Peterson Ltd"/>
    <s v="Re-engineered 24hour matrix"/>
    <n v="14500"/>
    <n v="159056"/>
    <x v="1"/>
    <n v="1559"/>
    <s v="US"/>
    <s v="USD"/>
    <n v="1096.9379310344827"/>
    <n v="1482732000"/>
    <n v="102.02437459910199"/>
    <n v="1482818400"/>
    <x v="844"/>
    <d v="2016-12-27T06:00:00"/>
    <b v="0"/>
    <b v="1"/>
    <s v="music/rock"/>
    <x v="1"/>
    <s v="rock"/>
  </r>
  <r>
    <n v="952"/>
    <s v="Cummings-Hayes"/>
    <s v="Virtual multi-tasking core"/>
    <n v="145500"/>
    <n v="101987"/>
    <x v="3"/>
    <n v="2266"/>
    <s v="US"/>
    <s v="USD"/>
    <n v="70.094158075601371"/>
    <n v="1470718800"/>
    <n v="45.007502206531335"/>
    <n v="1471928400"/>
    <x v="845"/>
    <d v="2016-08-23T05:00:00"/>
    <b v="0"/>
    <b v="0"/>
    <s v="film &amp; video/documentary"/>
    <x v="4"/>
    <s v="documentary"/>
  </r>
  <r>
    <n v="953"/>
    <s v="Boyle Ltd"/>
    <s v="Streamlined fault-tolerant conglomeration"/>
    <n v="3300"/>
    <n v="1980"/>
    <x v="0"/>
    <n v="21"/>
    <s v="US"/>
    <s v="USD"/>
    <n v="60"/>
    <n v="1450591200"/>
    <n v="94.285714285714292"/>
    <n v="1453701600"/>
    <x v="846"/>
    <d v="2016-01-25T06:00:00"/>
    <b v="0"/>
    <b v="1"/>
    <s v="film &amp; video/science fiction"/>
    <x v="4"/>
    <s v="science fiction"/>
  </r>
  <r>
    <n v="954"/>
    <s v="Henderson, Parker and Diaz"/>
    <s v="Enterprise-wide client-driven policy"/>
    <n v="42600"/>
    <n v="156384"/>
    <x v="1"/>
    <n v="1548"/>
    <s v="AU"/>
    <s v="AUD"/>
    <n v="367.0985915492958"/>
    <n v="1348290000"/>
    <n v="101.02325581395348"/>
    <n v="1350363600"/>
    <x v="110"/>
    <d v="2012-10-16T05:00:00"/>
    <b v="0"/>
    <b v="0"/>
    <s v="technology/web"/>
    <x v="2"/>
    <s v="web"/>
  </r>
  <r>
    <n v="955"/>
    <s v="Moss-Obrien"/>
    <s v="Function-based next generation emulation"/>
    <n v="700"/>
    <n v="7763"/>
    <x v="1"/>
    <n v="80"/>
    <s v="US"/>
    <s v="USD"/>
    <n v="1109"/>
    <n v="1353823200"/>
    <n v="97.037499999999994"/>
    <n v="1353996000"/>
    <x v="847"/>
    <d v="2012-11-27T06:00:00"/>
    <b v="0"/>
    <b v="0"/>
    <s v="theater/plays"/>
    <x v="3"/>
    <s v="plays"/>
  </r>
  <r>
    <n v="956"/>
    <s v="Wood Inc"/>
    <s v="Re-engineered composite focus group"/>
    <n v="187600"/>
    <n v="35698"/>
    <x v="0"/>
    <n v="830"/>
    <s v="US"/>
    <s v="USD"/>
    <n v="19.028784648187631"/>
    <n v="1450764000"/>
    <n v="43.00963855421687"/>
    <n v="1451109600"/>
    <x v="848"/>
    <d v="2015-12-26T06:00:00"/>
    <b v="0"/>
    <b v="0"/>
    <s v="film &amp; video/science fiction"/>
    <x v="4"/>
    <s v="science fiction"/>
  </r>
  <r>
    <n v="957"/>
    <s v="Riley, Cohen and Goodman"/>
    <s v="Profound mission-critical function"/>
    <n v="9800"/>
    <n v="12434"/>
    <x v="1"/>
    <n v="131"/>
    <s v="US"/>
    <s v="USD"/>
    <n v="126.87755102040816"/>
    <n v="1329372000"/>
    <n v="94.916030534351151"/>
    <n v="1329631200"/>
    <x v="849"/>
    <d v="2012-02-19T06:00:00"/>
    <b v="0"/>
    <b v="0"/>
    <s v="theater/plays"/>
    <x v="3"/>
    <s v="plays"/>
  </r>
  <r>
    <n v="958"/>
    <s v="Green, Robinson and Ho"/>
    <s v="De-engineered zero-defect open system"/>
    <n v="1100"/>
    <n v="8081"/>
    <x v="1"/>
    <n v="112"/>
    <s v="US"/>
    <s v="USD"/>
    <n v="734.63636363636363"/>
    <n v="1277096400"/>
    <n v="72.151785714285708"/>
    <n v="1278997200"/>
    <x v="780"/>
    <d v="2010-07-13T05:00:00"/>
    <b v="0"/>
    <b v="0"/>
    <s v="film &amp; video/animation"/>
    <x v="4"/>
    <s v="animation"/>
  </r>
  <r>
    <n v="959"/>
    <s v="Black-Graham"/>
    <s v="Operative hybrid utilization"/>
    <n v="145000"/>
    <n v="6631"/>
    <x v="0"/>
    <n v="130"/>
    <s v="US"/>
    <s v="USD"/>
    <n v="4.5731034482758623"/>
    <n v="1277701200"/>
    <n v="51.007692307692309"/>
    <n v="1280120400"/>
    <x v="140"/>
    <d v="2010-07-26T05:00:00"/>
    <b v="0"/>
    <b v="0"/>
    <s v="publishing/translations"/>
    <x v="5"/>
    <s v="translations"/>
  </r>
  <r>
    <n v="960"/>
    <s v="Robbins Group"/>
    <s v="Function-based interactive matrix"/>
    <n v="5500"/>
    <n v="4678"/>
    <x v="0"/>
    <n v="55"/>
    <s v="US"/>
    <s v="USD"/>
    <n v="85.054545454545448"/>
    <n v="1454911200"/>
    <n v="85.054545454545448"/>
    <n v="1458104400"/>
    <x v="850"/>
    <d v="2016-03-16T05:00:00"/>
    <b v="0"/>
    <b v="0"/>
    <s v="technology/web"/>
    <x v="2"/>
    <s v="web"/>
  </r>
  <r>
    <n v="961"/>
    <s v="Mason, Case and May"/>
    <s v="Optimized content-based collaboration"/>
    <n v="5700"/>
    <n v="6800"/>
    <x v="1"/>
    <n v="155"/>
    <s v="US"/>
    <s v="USD"/>
    <n v="119.29824561403508"/>
    <n v="1297922400"/>
    <n v="43.87096774193548"/>
    <n v="1298268000"/>
    <x v="851"/>
    <d v="2011-02-21T06:00:00"/>
    <b v="0"/>
    <b v="0"/>
    <s v="publishing/translations"/>
    <x v="5"/>
    <s v="translations"/>
  </r>
  <r>
    <n v="962"/>
    <s v="Harris, Russell and Mitchell"/>
    <s v="User-centric cohesive policy"/>
    <n v="3600"/>
    <n v="10657"/>
    <x v="1"/>
    <n v="266"/>
    <s v="US"/>
    <s v="USD"/>
    <n v="296.02777777777777"/>
    <n v="1384408800"/>
    <n v="40.063909774436091"/>
    <n v="1386223200"/>
    <x v="852"/>
    <d v="2013-12-05T06:00:00"/>
    <b v="0"/>
    <b v="0"/>
    <s v="food/food trucks"/>
    <x v="0"/>
    <s v="food trucks"/>
  </r>
  <r>
    <n v="963"/>
    <s v="Rodriguez-Robinson"/>
    <s v="Ergonomic methodical hub"/>
    <n v="5900"/>
    <n v="4997"/>
    <x v="0"/>
    <n v="114"/>
    <s v="IT"/>
    <s v="EUR"/>
    <n v="84.694915254237287"/>
    <n v="1299304800"/>
    <n v="43.833333333333336"/>
    <n v="1299823200"/>
    <x v="853"/>
    <d v="2011-03-11T06:00:00"/>
    <b v="0"/>
    <b v="1"/>
    <s v="photography/photography books"/>
    <x v="7"/>
    <s v="photography books"/>
  </r>
  <r>
    <n v="964"/>
    <s v="Peck, Higgins and Smith"/>
    <s v="Devolved disintermediate encryption"/>
    <n v="3700"/>
    <n v="13164"/>
    <x v="1"/>
    <n v="155"/>
    <s v="US"/>
    <s v="USD"/>
    <n v="355.7837837837838"/>
    <n v="1431320400"/>
    <n v="84.92903225806451"/>
    <n v="1431752400"/>
    <x v="854"/>
    <d v="2015-05-16T05:00:00"/>
    <b v="0"/>
    <b v="0"/>
    <s v="theater/plays"/>
    <x v="3"/>
    <s v="plays"/>
  </r>
  <r>
    <n v="965"/>
    <s v="Nunez-King"/>
    <s v="Phased clear-thinking policy"/>
    <n v="2200"/>
    <n v="8501"/>
    <x v="1"/>
    <n v="207"/>
    <s v="GB"/>
    <s v="GBP"/>
    <n v="386.40909090909093"/>
    <n v="1264399200"/>
    <n v="41.067632850241544"/>
    <n v="1267855200"/>
    <x v="67"/>
    <d v="2010-03-06T06:00:00"/>
    <b v="0"/>
    <b v="0"/>
    <s v="music/rock"/>
    <x v="1"/>
    <s v="rock"/>
  </r>
  <r>
    <n v="966"/>
    <s v="Davis and Sons"/>
    <s v="Seamless solution-oriented capacity"/>
    <n v="1700"/>
    <n v="13468"/>
    <x v="1"/>
    <n v="245"/>
    <s v="US"/>
    <s v="USD"/>
    <n v="792.23529411764707"/>
    <n v="1497502800"/>
    <n v="54.971428571428568"/>
    <n v="1497675600"/>
    <x v="855"/>
    <d v="2017-06-17T05:00:00"/>
    <b v="0"/>
    <b v="0"/>
    <s v="theater/plays"/>
    <x v="3"/>
    <s v="plays"/>
  </r>
  <r>
    <n v="967"/>
    <s v="Howard-Douglas"/>
    <s v="Organized human-resource attitude"/>
    <n v="88400"/>
    <n v="121138"/>
    <x v="1"/>
    <n v="1573"/>
    <s v="US"/>
    <s v="USD"/>
    <n v="137.03393665158373"/>
    <n v="1333688400"/>
    <n v="77.010807374443743"/>
    <n v="1336885200"/>
    <x v="107"/>
    <d v="2012-05-13T05:00:00"/>
    <b v="0"/>
    <b v="0"/>
    <s v="music/world music"/>
    <x v="1"/>
    <s v="world music"/>
  </r>
  <r>
    <n v="968"/>
    <s v="Gonzalez-White"/>
    <s v="Open-architected disintermediate budgetary management"/>
    <n v="2400"/>
    <n v="8117"/>
    <x v="1"/>
    <n v="114"/>
    <s v="US"/>
    <s v="USD"/>
    <n v="338.20833333333337"/>
    <n v="1293861600"/>
    <n v="71.201754385964918"/>
    <n v="1295157600"/>
    <x v="344"/>
    <d v="2011-01-16T06:00:00"/>
    <b v="0"/>
    <b v="0"/>
    <s v="food/food trucks"/>
    <x v="0"/>
    <s v="food trucks"/>
  </r>
  <r>
    <n v="969"/>
    <s v="Lopez-King"/>
    <s v="Multi-lateral radical solution"/>
    <n v="7900"/>
    <n v="8550"/>
    <x v="1"/>
    <n v="93"/>
    <s v="US"/>
    <s v="USD"/>
    <n v="108.22784810126582"/>
    <n v="1576994400"/>
    <n v="91.935483870967744"/>
    <n v="1577599200"/>
    <x v="856"/>
    <d v="2019-12-29T06:00:00"/>
    <b v="0"/>
    <b v="0"/>
    <s v="theater/plays"/>
    <x v="3"/>
    <s v="plays"/>
  </r>
  <r>
    <n v="970"/>
    <s v="Glover-Nelson"/>
    <s v="Inverse context-sensitive info-mediaries"/>
    <n v="94900"/>
    <n v="57659"/>
    <x v="0"/>
    <n v="594"/>
    <s v="US"/>
    <s v="USD"/>
    <n v="60.757639620653315"/>
    <n v="1304917200"/>
    <n v="97.069023569023571"/>
    <n v="1305003600"/>
    <x v="857"/>
    <d v="2011-05-10T05:00:00"/>
    <b v="0"/>
    <b v="0"/>
    <s v="theater/plays"/>
    <x v="3"/>
    <s v="plays"/>
  </r>
  <r>
    <n v="971"/>
    <s v="Garner and Sons"/>
    <s v="Versatile neutral workforce"/>
    <n v="5100"/>
    <n v="1414"/>
    <x v="0"/>
    <n v="24"/>
    <s v="US"/>
    <s v="USD"/>
    <n v="27.725490196078432"/>
    <n v="1381208400"/>
    <n v="58.916666666666664"/>
    <n v="1381726800"/>
    <x v="858"/>
    <d v="2013-10-14T05:00:00"/>
    <b v="0"/>
    <b v="0"/>
    <s v="film &amp; video/television"/>
    <x v="4"/>
    <s v="television"/>
  </r>
  <r>
    <n v="972"/>
    <s v="Sellers, Roach and Garrison"/>
    <s v="Multi-tiered systematic knowledge user"/>
    <n v="42700"/>
    <n v="97524"/>
    <x v="1"/>
    <n v="1681"/>
    <s v="US"/>
    <s v="USD"/>
    <n v="228.3934426229508"/>
    <n v="1401685200"/>
    <n v="58.015466983938133"/>
    <n v="1402462800"/>
    <x v="859"/>
    <d v="2014-06-11T05:00:00"/>
    <b v="0"/>
    <b v="1"/>
    <s v="technology/web"/>
    <x v="2"/>
    <s v="web"/>
  </r>
  <r>
    <n v="973"/>
    <s v="Herrera, Bennett and Silva"/>
    <s v="Programmable multi-state algorithm"/>
    <n v="121100"/>
    <n v="26176"/>
    <x v="0"/>
    <n v="252"/>
    <s v="US"/>
    <s v="USD"/>
    <n v="21.615194054500414"/>
    <n v="1291960800"/>
    <n v="103.87301587301587"/>
    <n v="1292133600"/>
    <x v="860"/>
    <d v="2010-12-12T06:00:00"/>
    <b v="0"/>
    <b v="1"/>
    <s v="theater/plays"/>
    <x v="3"/>
    <s v="plays"/>
  </r>
  <r>
    <n v="974"/>
    <s v="Thomas, Clay and Mendoza"/>
    <s v="Multi-channeled reciprocal interface"/>
    <n v="800"/>
    <n v="2991"/>
    <x v="1"/>
    <n v="32"/>
    <s v="US"/>
    <s v="USD"/>
    <n v="373.875"/>
    <n v="1368853200"/>
    <n v="93.46875"/>
    <n v="1368939600"/>
    <x v="170"/>
    <d v="2013-05-19T05:00:00"/>
    <b v="0"/>
    <b v="0"/>
    <s v="music/indie rock"/>
    <x v="1"/>
    <s v="indie rock"/>
  </r>
  <r>
    <n v="975"/>
    <s v="Ayala Group"/>
    <s v="Right-sized maximized migration"/>
    <n v="5400"/>
    <n v="8366"/>
    <x v="1"/>
    <n v="135"/>
    <s v="US"/>
    <s v="USD"/>
    <n v="154.92592592592592"/>
    <n v="1448776800"/>
    <n v="61.970370370370368"/>
    <n v="1452146400"/>
    <x v="861"/>
    <d v="2016-01-07T06:00:00"/>
    <b v="0"/>
    <b v="1"/>
    <s v="theater/plays"/>
    <x v="3"/>
    <s v="plays"/>
  </r>
  <r>
    <n v="976"/>
    <s v="Huerta, Roberts and Dickerson"/>
    <s v="Self-enabling value-added artificial intelligence"/>
    <n v="4000"/>
    <n v="12886"/>
    <x v="1"/>
    <n v="140"/>
    <s v="US"/>
    <s v="USD"/>
    <n v="322.14999999999998"/>
    <n v="1296194400"/>
    <n v="92.042857142857144"/>
    <n v="1296712800"/>
    <x v="862"/>
    <d v="2011-02-03T06:00:00"/>
    <b v="0"/>
    <b v="1"/>
    <s v="theater/plays"/>
    <x v="3"/>
    <s v="plays"/>
  </r>
  <r>
    <n v="977"/>
    <s v="Johnson Group"/>
    <s v="Vision-oriented interactive solution"/>
    <n v="7000"/>
    <n v="5177"/>
    <x v="0"/>
    <n v="67"/>
    <s v="US"/>
    <s v="USD"/>
    <n v="73.957142857142856"/>
    <n v="1517983200"/>
    <n v="77.268656716417908"/>
    <n v="1520748000"/>
    <x v="863"/>
    <d v="2018-03-11T06:00:00"/>
    <b v="0"/>
    <b v="0"/>
    <s v="food/food trucks"/>
    <x v="0"/>
    <s v="food trucks"/>
  </r>
  <r>
    <n v="978"/>
    <s v="Bailey, Nguyen and Martinez"/>
    <s v="Fundamental user-facing productivity"/>
    <n v="1000"/>
    <n v="8641"/>
    <x v="1"/>
    <n v="92"/>
    <s v="US"/>
    <s v="USD"/>
    <n v="864.1"/>
    <n v="1478930400"/>
    <n v="93.923913043478265"/>
    <n v="1480831200"/>
    <x v="864"/>
    <d v="2016-12-04T06:00:00"/>
    <b v="0"/>
    <b v="0"/>
    <s v="games/video games"/>
    <x v="6"/>
    <s v="video games"/>
  </r>
  <r>
    <n v="979"/>
    <s v="Williams, Martin and Meyer"/>
    <s v="Innovative well-modulated capability"/>
    <n v="60200"/>
    <n v="86244"/>
    <x v="1"/>
    <n v="1015"/>
    <s v="GB"/>
    <s v="GBP"/>
    <n v="143.26245847176079"/>
    <n v="1426395600"/>
    <n v="84.969458128078813"/>
    <n v="1426914000"/>
    <x v="527"/>
    <d v="2015-03-21T05:00:00"/>
    <b v="0"/>
    <b v="0"/>
    <s v="theater/plays"/>
    <x v="3"/>
    <s v="plays"/>
  </r>
  <r>
    <n v="980"/>
    <s v="Huff-Johnson"/>
    <s v="Universal fault-tolerant orchestration"/>
    <n v="195200"/>
    <n v="78630"/>
    <x v="0"/>
    <n v="742"/>
    <s v="US"/>
    <s v="USD"/>
    <n v="40.281762295081968"/>
    <n v="1446181200"/>
    <n v="105.97035040431267"/>
    <n v="1446616800"/>
    <x v="865"/>
    <d v="2015-11-04T06:00:00"/>
    <b v="1"/>
    <b v="0"/>
    <s v="publishing/nonfiction"/>
    <x v="5"/>
    <s v="nonfiction"/>
  </r>
  <r>
    <n v="981"/>
    <s v="Diaz-Little"/>
    <s v="Grass-roots executive synergy"/>
    <n v="6700"/>
    <n v="11941"/>
    <x v="1"/>
    <n v="323"/>
    <s v="US"/>
    <s v="USD"/>
    <n v="178.22388059701493"/>
    <n v="1514181600"/>
    <n v="36.969040247678016"/>
    <n v="1517032800"/>
    <x v="866"/>
    <d v="2018-01-27T06:00:00"/>
    <b v="0"/>
    <b v="0"/>
    <s v="technology/web"/>
    <x v="2"/>
    <s v="web"/>
  </r>
  <r>
    <n v="982"/>
    <s v="Freeman-French"/>
    <s v="Multi-layered optimal application"/>
    <n v="7200"/>
    <n v="6115"/>
    <x v="0"/>
    <n v="75"/>
    <s v="US"/>
    <s v="USD"/>
    <n v="84.930555555555557"/>
    <n v="1311051600"/>
    <n v="81.533333333333331"/>
    <n v="1311224400"/>
    <x v="867"/>
    <d v="2011-07-21T05:00:00"/>
    <b v="0"/>
    <b v="1"/>
    <s v="film &amp; video/documentary"/>
    <x v="4"/>
    <s v="documentary"/>
  </r>
  <r>
    <n v="983"/>
    <s v="Beck-Weber"/>
    <s v="Business-focused full-range core"/>
    <n v="129100"/>
    <n v="188404"/>
    <x v="1"/>
    <n v="2326"/>
    <s v="US"/>
    <s v="USD"/>
    <n v="145.93648334624322"/>
    <n v="1564894800"/>
    <n v="80.999140154772135"/>
    <n v="1566190800"/>
    <x v="868"/>
    <d v="2019-08-19T05:00:00"/>
    <b v="0"/>
    <b v="0"/>
    <s v="film &amp; video/documentary"/>
    <x v="4"/>
    <s v="documentary"/>
  </r>
  <r>
    <n v="984"/>
    <s v="Lewis-Jacobson"/>
    <s v="Exclusive system-worthy Graphic Interface"/>
    <n v="6500"/>
    <n v="9910"/>
    <x v="1"/>
    <n v="381"/>
    <s v="US"/>
    <s v="USD"/>
    <n v="152.46153846153848"/>
    <n v="1567918800"/>
    <n v="26.010498687664043"/>
    <n v="1570165200"/>
    <x v="105"/>
    <d v="2019-10-04T05:00:00"/>
    <b v="0"/>
    <b v="0"/>
    <s v="theater/plays"/>
    <x v="3"/>
    <s v="plays"/>
  </r>
  <r>
    <n v="985"/>
    <s v="Logan-Curtis"/>
    <s v="Enhanced optimal ability"/>
    <n v="170600"/>
    <n v="114523"/>
    <x v="0"/>
    <n v="4405"/>
    <s v="US"/>
    <s v="USD"/>
    <n v="67.129542790152414"/>
    <n v="1386309600"/>
    <n v="25.998410896708286"/>
    <n v="1388556000"/>
    <x v="481"/>
    <d v="2014-01-01T06:00:00"/>
    <b v="0"/>
    <b v="1"/>
    <s v="music/rock"/>
    <x v="1"/>
    <s v="rock"/>
  </r>
  <r>
    <n v="986"/>
    <s v="Chan, Washington and Callahan"/>
    <s v="Optional zero administration neural-net"/>
    <n v="7800"/>
    <n v="3144"/>
    <x v="0"/>
    <n v="92"/>
    <s v="US"/>
    <s v="USD"/>
    <n v="40.307692307692307"/>
    <n v="1301979600"/>
    <n v="34.173913043478258"/>
    <n v="1303189200"/>
    <x v="253"/>
    <d v="2011-04-19T05:00:00"/>
    <b v="0"/>
    <b v="0"/>
    <s v="music/rock"/>
    <x v="1"/>
    <s v="rock"/>
  </r>
  <r>
    <n v="987"/>
    <s v="Wilson Group"/>
    <s v="Ameliorated foreground focus group"/>
    <n v="6200"/>
    <n v="13441"/>
    <x v="1"/>
    <n v="480"/>
    <s v="US"/>
    <s v="USD"/>
    <n v="216.79032258064518"/>
    <n v="1493269200"/>
    <n v="28.002083333333335"/>
    <n v="1494478800"/>
    <x v="869"/>
    <d v="2017-05-11T05:00:00"/>
    <b v="0"/>
    <b v="0"/>
    <s v="film &amp; video/documentary"/>
    <x v="4"/>
    <s v="documentary"/>
  </r>
  <r>
    <n v="988"/>
    <s v="Gardner, Ryan and Gutierrez"/>
    <s v="Triple-buffered multi-tasking matrices"/>
    <n v="9400"/>
    <n v="4899"/>
    <x v="0"/>
    <n v="64"/>
    <s v="US"/>
    <s v="USD"/>
    <n v="52.117021276595743"/>
    <n v="1478930400"/>
    <n v="76.546875"/>
    <n v="1480744800"/>
    <x v="864"/>
    <d v="2016-12-03T06:00:00"/>
    <b v="0"/>
    <b v="0"/>
    <s v="publishing/radio &amp; podcasts"/>
    <x v="5"/>
    <s v="radio &amp; podcasts"/>
  </r>
  <r>
    <n v="989"/>
    <s v="Hernandez Inc"/>
    <s v="Versatile dedicated migration"/>
    <n v="2400"/>
    <n v="11990"/>
    <x v="1"/>
    <n v="226"/>
    <s v="US"/>
    <s v="USD"/>
    <n v="499.58333333333337"/>
    <n v="1555390800"/>
    <n v="53.053097345132741"/>
    <n v="1555822800"/>
    <x v="843"/>
    <d v="2019-04-21T05:00:00"/>
    <b v="0"/>
    <b v="0"/>
    <s v="publishing/translations"/>
    <x v="5"/>
    <s v="translations"/>
  </r>
  <r>
    <n v="990"/>
    <s v="Ortiz-Roberts"/>
    <s v="Devolved foreground customer loyalty"/>
    <n v="7800"/>
    <n v="6839"/>
    <x v="0"/>
    <n v="64"/>
    <s v="US"/>
    <s v="USD"/>
    <n v="87.679487179487182"/>
    <n v="1456984800"/>
    <n v="106.859375"/>
    <n v="1458882000"/>
    <x v="289"/>
    <d v="2016-03-25T05:00:00"/>
    <b v="0"/>
    <b v="1"/>
    <s v="film &amp; video/drama"/>
    <x v="4"/>
    <s v="drama"/>
  </r>
  <r>
    <n v="991"/>
    <s v="Ramirez LLC"/>
    <s v="Reduced reciprocal focus group"/>
    <n v="9800"/>
    <n v="11091"/>
    <x v="1"/>
    <n v="241"/>
    <s v="US"/>
    <s v="USD"/>
    <n v="113.17346938775511"/>
    <n v="1411621200"/>
    <n v="46.020746887966808"/>
    <n v="1411966800"/>
    <x v="870"/>
    <d v="2014-09-29T05:00:00"/>
    <b v="0"/>
    <b v="1"/>
    <s v="music/rock"/>
    <x v="1"/>
    <s v="rock"/>
  </r>
  <r>
    <n v="992"/>
    <s v="Morrow Inc"/>
    <s v="Networked global migration"/>
    <n v="3100"/>
    <n v="13223"/>
    <x v="1"/>
    <n v="132"/>
    <s v="US"/>
    <s v="USD"/>
    <n v="426.54838709677421"/>
    <n v="1525669200"/>
    <n v="100.17424242424242"/>
    <n v="1526878800"/>
    <x v="871"/>
    <d v="2018-05-21T05:00:00"/>
    <b v="0"/>
    <b v="1"/>
    <s v="film &amp; video/drama"/>
    <x v="4"/>
    <s v="drama"/>
  </r>
  <r>
    <n v="993"/>
    <s v="Erickson-Rogers"/>
    <s v="De-engineered even-keeled definition"/>
    <n v="9800"/>
    <n v="7608"/>
    <x v="3"/>
    <n v="75"/>
    <s v="IT"/>
    <s v="EUR"/>
    <n v="77.632653061224488"/>
    <n v="1450936800"/>
    <n v="101.44"/>
    <n v="1452405600"/>
    <x v="872"/>
    <d v="2016-01-10T06:00:00"/>
    <b v="0"/>
    <b v="1"/>
    <s v="photography/photography books"/>
    <x v="7"/>
    <s v="photography books"/>
  </r>
  <r>
    <n v="994"/>
    <s v="Leach, Rich and Price"/>
    <s v="Implemented bi-directional flexibility"/>
    <n v="141100"/>
    <n v="74073"/>
    <x v="0"/>
    <n v="842"/>
    <s v="US"/>
    <s v="USD"/>
    <n v="52.496810772501767"/>
    <n v="1413522000"/>
    <n v="87.972684085510693"/>
    <n v="1414040400"/>
    <x v="873"/>
    <d v="2014-10-23T05:00:00"/>
    <b v="0"/>
    <b v="1"/>
    <s v="publishing/translations"/>
    <x v="5"/>
    <s v="translations"/>
  </r>
  <r>
    <n v="995"/>
    <s v="Manning-Hamilton"/>
    <s v="Vision-oriented scalable definition"/>
    <n v="97300"/>
    <n v="153216"/>
    <x v="1"/>
    <n v="2043"/>
    <s v="US"/>
    <s v="USD"/>
    <n v="157.46762589928059"/>
    <n v="1541307600"/>
    <n v="74.995594713656388"/>
    <n v="1543816800"/>
    <x v="874"/>
    <d v="2018-12-03T06:00:00"/>
    <b v="0"/>
    <b v="1"/>
    <s v="food/food trucks"/>
    <x v="0"/>
    <s v="food trucks"/>
  </r>
  <r>
    <n v="996"/>
    <s v="Butler LLC"/>
    <s v="Future-proofed upward-trending migration"/>
    <n v="6600"/>
    <n v="4814"/>
    <x v="0"/>
    <n v="112"/>
    <s v="US"/>
    <s v="USD"/>
    <n v="72.939393939393938"/>
    <n v="1357106400"/>
    <n v="42.982142857142854"/>
    <n v="1359698400"/>
    <x v="875"/>
    <d v="2013-02-01T06:00:00"/>
    <b v="0"/>
    <b v="0"/>
    <s v="theater/plays"/>
    <x v="3"/>
    <s v="plays"/>
  </r>
  <r>
    <n v="997"/>
    <s v="Ball LLC"/>
    <s v="Right-sized full-range throughput"/>
    <n v="7600"/>
    <n v="4603"/>
    <x v="3"/>
    <n v="139"/>
    <s v="IT"/>
    <s v="EUR"/>
    <n v="60.565789473684205"/>
    <n v="1390197600"/>
    <n v="33.115107913669064"/>
    <n v="1390629600"/>
    <x v="876"/>
    <d v="2014-01-25T06:00:00"/>
    <b v="0"/>
    <b v="0"/>
    <s v="theater/plays"/>
    <x v="3"/>
    <s v="plays"/>
  </r>
  <r>
    <n v="998"/>
    <s v="Taylor, Santiago and Flores"/>
    <s v="Polarized composite customer loyalty"/>
    <n v="66600"/>
    <n v="37823"/>
    <x v="0"/>
    <n v="374"/>
    <s v="US"/>
    <s v="USD"/>
    <n v="56.791291291291287"/>
    <n v="1265868000"/>
    <n v="101.13101604278074"/>
    <n v="1267077600"/>
    <x v="877"/>
    <d v="2010-02-25T06:00:00"/>
    <b v="0"/>
    <b v="1"/>
    <s v="music/indie rock"/>
    <x v="1"/>
    <s v="indie rock"/>
  </r>
  <r>
    <n v="999"/>
    <s v="Hernandez, Norton and Kelley"/>
    <s v="Expanded eco-centric policy"/>
    <n v="111100"/>
    <n v="62819"/>
    <x v="3"/>
    <n v="1122"/>
    <s v="US"/>
    <s v="USD"/>
    <n v="56.542754275427541"/>
    <n v="1467176400"/>
    <n v="55.98841354723708"/>
    <n v="1467781200"/>
    <x v="878"/>
    <d v="2016-07-06T05:00:00"/>
    <b v="0"/>
    <b v="0"/>
    <s v="food/food trucks"/>
    <x v="0"/>
    <s v="food trucks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n v="51"/>
    <x v="0"/>
    <x v="0"/>
    <x v="0"/>
  </r>
  <r>
    <x v="1"/>
    <x v="1"/>
    <x v="1"/>
    <x v="1"/>
    <n v="231"/>
    <x v="1"/>
    <x v="1"/>
    <x v="1"/>
  </r>
  <r>
    <x v="2"/>
    <x v="2"/>
    <x v="2"/>
    <x v="2"/>
    <n v="315"/>
    <x v="2"/>
    <x v="2"/>
    <x v="2"/>
  </r>
  <r>
    <x v="3"/>
    <x v="3"/>
    <x v="3"/>
    <x v="3"/>
    <n v="9"/>
    <x v="3"/>
    <x v="3"/>
    <x v="3"/>
  </r>
  <r>
    <x v="4"/>
    <x v="4"/>
    <x v="4"/>
    <x v="3"/>
    <n v="10"/>
    <x v="4"/>
    <x v="4"/>
    <x v="3"/>
  </r>
  <r>
    <x v="5"/>
    <x v="5"/>
    <x v="4"/>
    <x v="3"/>
    <n v="7"/>
    <x v="4"/>
    <x v="4"/>
    <x v="3"/>
  </r>
  <r>
    <x v="6"/>
    <x v="6"/>
    <x v="5"/>
    <x v="3"/>
    <n v="14"/>
    <x v="5"/>
    <x v="5"/>
    <x v="3"/>
  </r>
  <r>
    <x v="7"/>
    <x v="5"/>
    <x v="4"/>
    <x v="3"/>
    <n v="7"/>
    <x v="4"/>
    <x v="4"/>
    <x v="3"/>
  </r>
  <r>
    <x v="8"/>
    <x v="7"/>
    <x v="5"/>
    <x v="0"/>
    <n v="12"/>
    <x v="6"/>
    <x v="6"/>
    <x v="0"/>
  </r>
  <r>
    <x v="9"/>
    <x v="6"/>
    <x v="5"/>
    <x v="3"/>
    <n v="14"/>
    <x v="5"/>
    <x v="5"/>
    <x v="3"/>
  </r>
  <r>
    <x v="10"/>
    <x v="7"/>
    <x v="5"/>
    <x v="3"/>
    <n v="11"/>
    <x v="7"/>
    <x v="7"/>
    <x v="3"/>
  </r>
  <r>
    <x v="11"/>
    <x v="8"/>
    <x v="6"/>
    <x v="4"/>
    <n v="305"/>
    <x v="8"/>
    <x v="8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CA2992-103E-405D-8529-A769541385F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sd="0" x="4"/>
        <item sd="0" x="0"/>
        <item sd="0" x="6"/>
        <item sd="0" x="8"/>
        <item sd="0" x="1"/>
        <item sd="0" x="7"/>
        <item sd="0" x="5"/>
        <item sd="0" x="2"/>
        <item sd="0" x="3"/>
        <item h="1" sd="0" x="9"/>
        <item t="default" sd="0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x="24"/>
        <item t="default"/>
      </items>
    </pivotField>
  </pivotFields>
  <rowFields count="2">
    <field x="16"/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88B769-5CAE-47D0-A085-A6CB2AB37D5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G31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x="24"/>
        <item t="default"/>
      </items>
    </pivotField>
  </pivotFields>
  <rowFields count="1">
    <field x="17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7" hier="-1"/>
    <pageField fld="16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2EBE1A-8D27-4785-A745-249AC50DD5C7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numFmtId="9" showAll="0"/>
    <pivotField showAll="0"/>
    <pivotField numFmtId="44"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2">
    <field x="20"/>
    <field x="2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2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CC8168-49BE-4585-9CCF-4BB447E8F93B}" name="PivotTable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5:D28" firstHeaderRow="0" firstDataRow="1" firstDataCol="1"/>
  <pivotFields count="8">
    <pivotField axis="axisRow" showAll="0">
      <items count="13">
        <item x="1"/>
        <item x="3"/>
        <item x="4"/>
        <item x="5"/>
        <item x="6"/>
        <item x="7"/>
        <item x="8"/>
        <item x="9"/>
        <item x="10"/>
        <item x="2"/>
        <item x="11"/>
        <item x="0"/>
        <item t="default"/>
      </items>
    </pivotField>
    <pivotField showAll="0">
      <items count="10">
        <item x="3"/>
        <item x="5"/>
        <item x="7"/>
        <item x="4"/>
        <item x="6"/>
        <item x="0"/>
        <item x="8"/>
        <item x="2"/>
        <item x="1"/>
        <item t="default"/>
      </items>
    </pivotField>
    <pivotField showAll="0">
      <items count="8">
        <item x="4"/>
        <item x="5"/>
        <item x="3"/>
        <item x="0"/>
        <item x="1"/>
        <item x="2"/>
        <item x="6"/>
        <item t="default"/>
      </items>
    </pivotField>
    <pivotField showAll="0">
      <items count="6">
        <item x="3"/>
        <item x="0"/>
        <item x="1"/>
        <item x="2"/>
        <item x="4"/>
        <item t="default"/>
      </items>
    </pivotField>
    <pivotField showAll="0"/>
    <pivotField dataField="1" numFmtId="9" showAll="0">
      <items count="10">
        <item x="8"/>
        <item x="3"/>
        <item x="2"/>
        <item x="0"/>
        <item x="6"/>
        <item x="7"/>
        <item x="5"/>
        <item x="1"/>
        <item x="4"/>
        <item t="default"/>
      </items>
    </pivotField>
    <pivotField dataField="1" numFmtId="9" showAll="0">
      <items count="10">
        <item x="4"/>
        <item x="1"/>
        <item x="5"/>
        <item x="6"/>
        <item x="7"/>
        <item x="0"/>
        <item x="2"/>
        <item x="8"/>
        <item x="3"/>
        <item t="default"/>
      </items>
    </pivotField>
    <pivotField dataField="1" numFmtId="9" showAll="0">
      <items count="6">
        <item x="3"/>
        <item x="0"/>
        <item x="1"/>
        <item x="2"/>
        <item x="4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Percentage Successful" fld="5" baseField="0" baseItem="0"/>
    <dataField name="Sum of Percaentage Failed" fld="6" baseField="0" baseItem="0"/>
    <dataField name="Sum of Percentage Canceled" fld="7" baseField="0" baseItem="0"/>
  </dataFields>
  <chartFormats count="3">
    <chartFormat chart="0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01"/>
  <sheetViews>
    <sheetView topLeftCell="I1" workbookViewId="0">
      <selection activeCell="L4" sqref="L4"/>
    </sheetView>
  </sheetViews>
  <sheetFormatPr defaultColWidth="11" defaultRowHeight="15.75" x14ac:dyDescent="0.25"/>
  <cols>
    <col min="1" max="1" width="4.125" bestFit="1" customWidth="1"/>
    <col min="2" max="2" width="30.625" bestFit="1" customWidth="1"/>
    <col min="3" max="3" width="33.5" style="3" customWidth="1"/>
    <col min="7" max="7" width="13" bestFit="1" customWidth="1"/>
    <col min="10" max="10" width="18.5" bestFit="1" customWidth="1"/>
    <col min="11" max="11" width="11.125" bestFit="1" customWidth="1"/>
    <col min="12" max="12" width="20.5" bestFit="1" customWidth="1"/>
    <col min="13" max="13" width="11.125" bestFit="1" customWidth="1"/>
    <col min="14" max="14" width="22.375" style="10" bestFit="1" customWidth="1"/>
    <col min="15" max="15" width="22.375" style="10" customWidth="1"/>
    <col min="18" max="18" width="28" bestFit="1" customWidth="1"/>
    <col min="19" max="20" width="20.5" customWidth="1"/>
  </cols>
  <sheetData>
    <row r="1" spans="1:21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2029</v>
      </c>
      <c r="K1" s="1" t="s">
        <v>8</v>
      </c>
      <c r="L1" s="1" t="s">
        <v>2030</v>
      </c>
      <c r="M1" s="1" t="s">
        <v>9</v>
      </c>
      <c r="N1" s="8" t="s">
        <v>2072</v>
      </c>
      <c r="O1" s="8" t="s">
        <v>2073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  <c r="U1"/>
    </row>
    <row r="2" spans="1:21" x14ac:dyDescent="0.25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 s="4">
        <f>(E2/D2*100)</f>
        <v>0</v>
      </c>
      <c r="K2">
        <v>1448690400</v>
      </c>
      <c r="L2" s="5">
        <v>0</v>
      </c>
      <c r="M2">
        <v>1450159200</v>
      </c>
      <c r="N2" s="9">
        <f>(((K2/60)/60)/24)+DATE(1970,1,1)</f>
        <v>42336.25</v>
      </c>
      <c r="O2" s="9">
        <f>(((M2/60)/60)/24)+DATE(1970,1,1)</f>
        <v>42353.25</v>
      </c>
      <c r="P2" t="b">
        <v>0</v>
      </c>
      <c r="Q2" t="b">
        <v>0</v>
      </c>
      <c r="R2" t="s">
        <v>17</v>
      </c>
      <c r="S2" s="5" t="str" cm="1">
        <f t="array" ref="S2:T2">_xlfn.TEXTSPLIT(R2, "/")</f>
        <v>food</v>
      </c>
      <c r="T2" s="5" t="str">
        <v>food trucks</v>
      </c>
    </row>
    <row r="3" spans="1:21" x14ac:dyDescent="0.25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 s="4">
        <f t="shared" ref="J3:J66" si="0">(E3/D3*100)</f>
        <v>1040</v>
      </c>
      <c r="K3">
        <v>1408424400</v>
      </c>
      <c r="L3" s="5">
        <f t="shared" ref="L3:L66" si="1">E3/G3</f>
        <v>92.151898734177209</v>
      </c>
      <c r="M3">
        <v>1408597200</v>
      </c>
      <c r="N3" s="9">
        <f t="shared" ref="N3:N66" si="2">(((K3/60)/60)/24)+DATE(1970,1,1)</f>
        <v>41870.208333333336</v>
      </c>
      <c r="O3" s="9">
        <f t="shared" ref="O3:O66" si="3">(((M3/60)/60)/24)+DATE(1970,1,1)</f>
        <v>41872.208333333336</v>
      </c>
      <c r="P3" t="b">
        <v>0</v>
      </c>
      <c r="Q3" t="b">
        <v>1</v>
      </c>
      <c r="R3" t="s">
        <v>23</v>
      </c>
      <c r="S3" s="5" t="str" cm="1">
        <f t="array" ref="S3:T3">_xlfn.TEXTSPLIT(R3, "/")</f>
        <v>music</v>
      </c>
      <c r="T3" s="5" t="str">
        <v>rock</v>
      </c>
    </row>
    <row r="4" spans="1:21" ht="31.5" x14ac:dyDescent="0.25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 s="4">
        <f t="shared" si="0"/>
        <v>131.4787822878229</v>
      </c>
      <c r="K4">
        <v>1384668000</v>
      </c>
      <c r="L4" s="5">
        <f t="shared" si="1"/>
        <v>100.01614035087719</v>
      </c>
      <c r="M4">
        <v>1384840800</v>
      </c>
      <c r="N4" s="9">
        <f t="shared" si="2"/>
        <v>41595.25</v>
      </c>
      <c r="O4" s="9">
        <f t="shared" si="3"/>
        <v>41597.25</v>
      </c>
      <c r="P4" t="b">
        <v>0</v>
      </c>
      <c r="Q4" t="b">
        <v>0</v>
      </c>
      <c r="R4" t="s">
        <v>28</v>
      </c>
      <c r="S4" s="5" t="str" cm="1">
        <f t="array" ref="S4:T4">_xlfn.TEXTSPLIT(R4, "/")</f>
        <v>technology</v>
      </c>
      <c r="T4" s="5" t="str">
        <v>web</v>
      </c>
    </row>
    <row r="5" spans="1:21" ht="31.5" x14ac:dyDescent="0.25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 s="4">
        <f t="shared" si="0"/>
        <v>58.976190476190467</v>
      </c>
      <c r="K5">
        <v>1565499600</v>
      </c>
      <c r="L5" s="5">
        <f t="shared" si="1"/>
        <v>103.20833333333333</v>
      </c>
      <c r="M5">
        <v>1568955600</v>
      </c>
      <c r="N5" s="9">
        <f t="shared" si="2"/>
        <v>43688.208333333328</v>
      </c>
      <c r="O5" s="9">
        <f t="shared" si="3"/>
        <v>43728.208333333328</v>
      </c>
      <c r="P5" t="b">
        <v>0</v>
      </c>
      <c r="Q5" t="b">
        <v>0</v>
      </c>
      <c r="R5" t="s">
        <v>23</v>
      </c>
      <c r="S5" s="5" t="str" cm="1">
        <f t="array" ref="S5:T5">_xlfn.TEXTSPLIT(R5, "/")</f>
        <v>music</v>
      </c>
      <c r="T5" s="5" t="str">
        <v>rock</v>
      </c>
    </row>
    <row r="6" spans="1:21" x14ac:dyDescent="0.25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 s="4">
        <f t="shared" si="0"/>
        <v>69.276315789473685</v>
      </c>
      <c r="K6">
        <v>1547964000</v>
      </c>
      <c r="L6" s="5">
        <v>0</v>
      </c>
      <c r="M6">
        <v>1548309600</v>
      </c>
      <c r="N6" s="9">
        <f t="shared" si="2"/>
        <v>43485.25</v>
      </c>
      <c r="O6" s="9">
        <f t="shared" si="3"/>
        <v>43489.25</v>
      </c>
      <c r="P6" t="b">
        <v>0</v>
      </c>
      <c r="Q6" t="b">
        <v>0</v>
      </c>
      <c r="R6" t="s">
        <v>33</v>
      </c>
      <c r="S6" s="5" t="str" cm="1">
        <f t="array" ref="S6:T6">_xlfn.TEXTSPLIT(R6, "/")</f>
        <v>theater</v>
      </c>
      <c r="T6" s="5" t="str">
        <v>plays</v>
      </c>
    </row>
    <row r="7" spans="1:21" x14ac:dyDescent="0.25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 s="4">
        <f t="shared" si="0"/>
        <v>173.61842105263159</v>
      </c>
      <c r="K7">
        <v>1346130000</v>
      </c>
      <c r="L7" s="5">
        <f t="shared" si="1"/>
        <v>75.833333333333329</v>
      </c>
      <c r="M7">
        <v>1347080400</v>
      </c>
      <c r="N7" s="9">
        <f t="shared" si="2"/>
        <v>41149.208333333336</v>
      </c>
      <c r="O7" s="9">
        <f t="shared" si="3"/>
        <v>41160.208333333336</v>
      </c>
      <c r="P7" t="b">
        <v>0</v>
      </c>
      <c r="Q7" t="b">
        <v>0</v>
      </c>
      <c r="R7" t="s">
        <v>33</v>
      </c>
      <c r="S7" s="5" t="str" cm="1">
        <f t="array" ref="S7:T7">_xlfn.TEXTSPLIT(R7, "/")</f>
        <v>theater</v>
      </c>
      <c r="T7" s="5" t="str">
        <v>plays</v>
      </c>
    </row>
    <row r="8" spans="1:21" x14ac:dyDescent="0.25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 s="4">
        <f t="shared" si="0"/>
        <v>20.961538461538463</v>
      </c>
      <c r="K8">
        <v>1505278800</v>
      </c>
      <c r="L8" s="5">
        <f t="shared" si="1"/>
        <v>60.555555555555557</v>
      </c>
      <c r="M8">
        <v>1505365200</v>
      </c>
      <c r="N8" s="9">
        <f t="shared" si="2"/>
        <v>42991.208333333328</v>
      </c>
      <c r="O8" s="9">
        <f t="shared" si="3"/>
        <v>42992.208333333328</v>
      </c>
      <c r="P8" t="b">
        <v>0</v>
      </c>
      <c r="Q8" t="b">
        <v>0</v>
      </c>
      <c r="R8" t="s">
        <v>42</v>
      </c>
      <c r="S8" s="5" t="str" cm="1">
        <f t="array" ref="S8:T8">_xlfn.TEXTSPLIT(R8, "/")</f>
        <v>film &amp; video</v>
      </c>
      <c r="T8" s="5" t="str">
        <v>documentary</v>
      </c>
    </row>
    <row r="9" spans="1:21" x14ac:dyDescent="0.25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 s="4">
        <f t="shared" si="0"/>
        <v>327.57777777777778</v>
      </c>
      <c r="K9">
        <v>1439442000</v>
      </c>
      <c r="L9" s="5">
        <f t="shared" si="1"/>
        <v>64.93832599118943</v>
      </c>
      <c r="M9">
        <v>1439614800</v>
      </c>
      <c r="N9" s="9">
        <f t="shared" si="2"/>
        <v>42229.208333333328</v>
      </c>
      <c r="O9" s="9">
        <f t="shared" si="3"/>
        <v>42231.208333333328</v>
      </c>
      <c r="P9" t="b">
        <v>0</v>
      </c>
      <c r="Q9" t="b">
        <v>0</v>
      </c>
      <c r="R9" t="s">
        <v>33</v>
      </c>
      <c r="S9" s="5" t="str" cm="1">
        <f t="array" ref="S9:T9">_xlfn.TEXTSPLIT(R9, "/")</f>
        <v>theater</v>
      </c>
      <c r="T9" s="5" t="str">
        <v>plays</v>
      </c>
    </row>
    <row r="10" spans="1:21" x14ac:dyDescent="0.25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 s="4">
        <f t="shared" si="0"/>
        <v>19.932788374205266</v>
      </c>
      <c r="K10">
        <v>1281330000</v>
      </c>
      <c r="L10" s="5">
        <f t="shared" si="1"/>
        <v>30.997175141242938</v>
      </c>
      <c r="M10">
        <v>1281502800</v>
      </c>
      <c r="N10" s="9">
        <f t="shared" si="2"/>
        <v>40399.208333333336</v>
      </c>
      <c r="O10" s="9">
        <f t="shared" si="3"/>
        <v>40401.208333333336</v>
      </c>
      <c r="P10" t="b">
        <v>0</v>
      </c>
      <c r="Q10" t="b">
        <v>0</v>
      </c>
      <c r="R10" t="s">
        <v>33</v>
      </c>
      <c r="S10" s="5" t="str" cm="1">
        <f t="array" ref="S10:T10">_xlfn.TEXTSPLIT(R10, "/")</f>
        <v>theater</v>
      </c>
      <c r="T10" s="5" t="str">
        <v>plays</v>
      </c>
    </row>
    <row r="11" spans="1:21" x14ac:dyDescent="0.25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 s="4">
        <f t="shared" si="0"/>
        <v>51.741935483870968</v>
      </c>
      <c r="K11">
        <v>1379566800</v>
      </c>
      <c r="L11" s="5">
        <f t="shared" si="1"/>
        <v>72.909090909090907</v>
      </c>
      <c r="M11">
        <v>1383804000</v>
      </c>
      <c r="N11" s="9">
        <f t="shared" si="2"/>
        <v>41536.208333333336</v>
      </c>
      <c r="O11" s="9">
        <f t="shared" si="3"/>
        <v>41585.25</v>
      </c>
      <c r="P11" t="b">
        <v>0</v>
      </c>
      <c r="Q11" t="b">
        <v>0</v>
      </c>
      <c r="R11" t="s">
        <v>50</v>
      </c>
      <c r="S11" s="5" t="str" cm="1">
        <f t="array" ref="S11:T11">_xlfn.TEXTSPLIT(R11, "/")</f>
        <v>music</v>
      </c>
      <c r="T11" s="5" t="str">
        <v>electric music</v>
      </c>
    </row>
    <row r="12" spans="1:21" x14ac:dyDescent="0.25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 s="4">
        <f t="shared" si="0"/>
        <v>266.11538461538464</v>
      </c>
      <c r="K12">
        <v>1281762000</v>
      </c>
      <c r="L12" s="5">
        <f t="shared" si="1"/>
        <v>62.9</v>
      </c>
      <c r="M12">
        <v>1285909200</v>
      </c>
      <c r="N12" s="9">
        <f t="shared" si="2"/>
        <v>40404.208333333336</v>
      </c>
      <c r="O12" s="9">
        <f t="shared" si="3"/>
        <v>40452.208333333336</v>
      </c>
      <c r="P12" t="b">
        <v>0</v>
      </c>
      <c r="Q12" t="b">
        <v>0</v>
      </c>
      <c r="R12" t="s">
        <v>53</v>
      </c>
      <c r="S12" s="5" t="str" cm="1">
        <f t="array" ref="S12:T12">_xlfn.TEXTSPLIT(R12, "/")</f>
        <v>film &amp; video</v>
      </c>
      <c r="T12" s="5" t="str">
        <v>drama</v>
      </c>
    </row>
    <row r="13" spans="1:21" ht="31.5" x14ac:dyDescent="0.25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 s="4">
        <f t="shared" si="0"/>
        <v>48.095238095238095</v>
      </c>
      <c r="K13">
        <v>1285045200</v>
      </c>
      <c r="L13" s="5">
        <f t="shared" si="1"/>
        <v>112.22222222222223</v>
      </c>
      <c r="M13">
        <v>1285563600</v>
      </c>
      <c r="N13" s="9">
        <f t="shared" si="2"/>
        <v>40442.208333333336</v>
      </c>
      <c r="O13" s="9">
        <f t="shared" si="3"/>
        <v>40448.208333333336</v>
      </c>
      <c r="P13" t="b">
        <v>0</v>
      </c>
      <c r="Q13" t="b">
        <v>1</v>
      </c>
      <c r="R13" t="s">
        <v>33</v>
      </c>
      <c r="S13" s="5" t="str" cm="1">
        <f t="array" ref="S13:T13">_xlfn.TEXTSPLIT(R13, "/")</f>
        <v>theater</v>
      </c>
      <c r="T13" s="5" t="str">
        <v>plays</v>
      </c>
    </row>
    <row r="14" spans="1:21" x14ac:dyDescent="0.25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 s="4">
        <f t="shared" si="0"/>
        <v>89.349206349206341</v>
      </c>
      <c r="K14">
        <v>1571720400</v>
      </c>
      <c r="L14" s="5">
        <f t="shared" si="1"/>
        <v>102.34545454545454</v>
      </c>
      <c r="M14">
        <v>1572411600</v>
      </c>
      <c r="N14" s="9">
        <f t="shared" si="2"/>
        <v>43760.208333333328</v>
      </c>
      <c r="O14" s="9">
        <f t="shared" si="3"/>
        <v>43768.208333333328</v>
      </c>
      <c r="P14" t="b">
        <v>0</v>
      </c>
      <c r="Q14" t="b">
        <v>0</v>
      </c>
      <c r="R14" t="s">
        <v>53</v>
      </c>
      <c r="S14" s="5" t="str" cm="1">
        <f t="array" ref="S14:T14">_xlfn.TEXTSPLIT(R14, "/")</f>
        <v>film &amp; video</v>
      </c>
      <c r="T14" s="5" t="str">
        <v>drama</v>
      </c>
    </row>
    <row r="15" spans="1:21" ht="31.5" x14ac:dyDescent="0.25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 s="4">
        <f t="shared" si="0"/>
        <v>245.11904761904765</v>
      </c>
      <c r="K15">
        <v>1465621200</v>
      </c>
      <c r="L15" s="5">
        <f t="shared" si="1"/>
        <v>105.05102040816327</v>
      </c>
      <c r="M15">
        <v>1466658000</v>
      </c>
      <c r="N15" s="9">
        <f t="shared" si="2"/>
        <v>42532.208333333328</v>
      </c>
      <c r="O15" s="9">
        <f t="shared" si="3"/>
        <v>42544.208333333328</v>
      </c>
      <c r="P15" t="b">
        <v>0</v>
      </c>
      <c r="Q15" t="b">
        <v>0</v>
      </c>
      <c r="R15" t="s">
        <v>60</v>
      </c>
      <c r="S15" s="5" t="str" cm="1">
        <f t="array" ref="S15:T15">_xlfn.TEXTSPLIT(R15, "/")</f>
        <v>music</v>
      </c>
      <c r="T15" s="5" t="str">
        <v>indie rock</v>
      </c>
    </row>
    <row r="16" spans="1:21" x14ac:dyDescent="0.25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 s="4">
        <f t="shared" si="0"/>
        <v>66.769503546099301</v>
      </c>
      <c r="K16">
        <v>1331013600</v>
      </c>
      <c r="L16" s="5">
        <f t="shared" si="1"/>
        <v>94.144999999999996</v>
      </c>
      <c r="M16">
        <v>1333342800</v>
      </c>
      <c r="N16" s="9">
        <f t="shared" si="2"/>
        <v>40974.25</v>
      </c>
      <c r="O16" s="9">
        <f t="shared" si="3"/>
        <v>41001.208333333336</v>
      </c>
      <c r="P16" t="b">
        <v>0</v>
      </c>
      <c r="Q16" t="b">
        <v>0</v>
      </c>
      <c r="R16" t="s">
        <v>60</v>
      </c>
      <c r="S16" s="5" t="str" cm="1">
        <f t="array" ref="S16:T16">_xlfn.TEXTSPLIT(R16, "/")</f>
        <v>music</v>
      </c>
      <c r="T16" s="5" t="str">
        <v>indie rock</v>
      </c>
    </row>
    <row r="17" spans="1:20" x14ac:dyDescent="0.25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 s="4">
        <f t="shared" si="0"/>
        <v>47.307881773399011</v>
      </c>
      <c r="K17">
        <v>1575957600</v>
      </c>
      <c r="L17" s="5">
        <f t="shared" si="1"/>
        <v>84.986725663716811</v>
      </c>
      <c r="M17">
        <v>1576303200</v>
      </c>
      <c r="N17" s="9">
        <f t="shared" si="2"/>
        <v>43809.25</v>
      </c>
      <c r="O17" s="9">
        <f t="shared" si="3"/>
        <v>43813.25</v>
      </c>
      <c r="P17" t="b">
        <v>0</v>
      </c>
      <c r="Q17" t="b">
        <v>0</v>
      </c>
      <c r="R17" t="s">
        <v>65</v>
      </c>
      <c r="S17" s="5" t="str" cm="1">
        <f t="array" ref="S17:T17">_xlfn.TEXTSPLIT(R17, "/")</f>
        <v>technology</v>
      </c>
      <c r="T17" s="5" t="str">
        <v>wearables</v>
      </c>
    </row>
    <row r="18" spans="1:20" x14ac:dyDescent="0.25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 s="4">
        <f t="shared" si="0"/>
        <v>649.47058823529414</v>
      </c>
      <c r="K18">
        <v>1390370400</v>
      </c>
      <c r="L18" s="5">
        <f t="shared" si="1"/>
        <v>110.41</v>
      </c>
      <c r="M18">
        <v>1392271200</v>
      </c>
      <c r="N18" s="9">
        <f t="shared" si="2"/>
        <v>41661.25</v>
      </c>
      <c r="O18" s="9">
        <f t="shared" si="3"/>
        <v>41683.25</v>
      </c>
      <c r="P18" t="b">
        <v>0</v>
      </c>
      <c r="Q18" t="b">
        <v>0</v>
      </c>
      <c r="R18" t="s">
        <v>68</v>
      </c>
      <c r="S18" s="5" t="str" cm="1">
        <f t="array" ref="S18:T18">_xlfn.TEXTSPLIT(R18, "/")</f>
        <v>publishing</v>
      </c>
      <c r="T18" s="5" t="str">
        <v>nonfiction</v>
      </c>
    </row>
    <row r="19" spans="1:20" x14ac:dyDescent="0.25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 s="4">
        <f t="shared" si="0"/>
        <v>159.39125295508273</v>
      </c>
      <c r="K19">
        <v>1294812000</v>
      </c>
      <c r="L19" s="5">
        <f t="shared" si="1"/>
        <v>107.96236989591674</v>
      </c>
      <c r="M19">
        <v>1294898400</v>
      </c>
      <c r="N19" s="9">
        <f t="shared" si="2"/>
        <v>40555.25</v>
      </c>
      <c r="O19" s="9">
        <f t="shared" si="3"/>
        <v>40556.25</v>
      </c>
      <c r="P19" t="b">
        <v>0</v>
      </c>
      <c r="Q19" t="b">
        <v>0</v>
      </c>
      <c r="R19" t="s">
        <v>71</v>
      </c>
      <c r="S19" s="5" t="str" cm="1">
        <f t="array" ref="S19:T19">_xlfn.TEXTSPLIT(R19, "/")</f>
        <v>film &amp; video</v>
      </c>
      <c r="T19" s="5" t="str">
        <v>animation</v>
      </c>
    </row>
    <row r="20" spans="1:20" x14ac:dyDescent="0.25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 s="4">
        <f t="shared" si="0"/>
        <v>66.912087912087912</v>
      </c>
      <c r="K20">
        <v>1536382800</v>
      </c>
      <c r="L20" s="5">
        <f t="shared" si="1"/>
        <v>45.103703703703701</v>
      </c>
      <c r="M20">
        <v>1537074000</v>
      </c>
      <c r="N20" s="9">
        <f t="shared" si="2"/>
        <v>43351.208333333328</v>
      </c>
      <c r="O20" s="9">
        <f t="shared" si="3"/>
        <v>43359.208333333328</v>
      </c>
      <c r="P20" t="b">
        <v>0</v>
      </c>
      <c r="Q20" t="b">
        <v>0</v>
      </c>
      <c r="R20" t="s">
        <v>33</v>
      </c>
      <c r="S20" s="5" t="str" cm="1">
        <f t="array" ref="S20:T20">_xlfn.TEXTSPLIT(R20, "/")</f>
        <v>theater</v>
      </c>
      <c r="T20" s="5" t="str">
        <v>plays</v>
      </c>
    </row>
    <row r="21" spans="1:20" x14ac:dyDescent="0.25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 s="4">
        <f t="shared" si="0"/>
        <v>48.529600000000002</v>
      </c>
      <c r="K21">
        <v>1551679200</v>
      </c>
      <c r="L21" s="5">
        <f t="shared" si="1"/>
        <v>45.001483679525222</v>
      </c>
      <c r="M21">
        <v>1553490000</v>
      </c>
      <c r="N21" s="9">
        <f t="shared" si="2"/>
        <v>43528.25</v>
      </c>
      <c r="O21" s="9">
        <f t="shared" si="3"/>
        <v>43549.208333333328</v>
      </c>
      <c r="P21" t="b">
        <v>0</v>
      </c>
      <c r="Q21" t="b">
        <v>1</v>
      </c>
      <c r="R21" t="s">
        <v>33</v>
      </c>
      <c r="S21" s="5" t="str" cm="1">
        <f t="array" ref="S21:T21">_xlfn.TEXTSPLIT(R21, "/")</f>
        <v>theater</v>
      </c>
      <c r="T21" s="5" t="str">
        <v>plays</v>
      </c>
    </row>
    <row r="22" spans="1:20" x14ac:dyDescent="0.25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 s="4">
        <f t="shared" si="0"/>
        <v>112.24279210925646</v>
      </c>
      <c r="K22">
        <v>1406523600</v>
      </c>
      <c r="L22" s="5">
        <f t="shared" si="1"/>
        <v>105.97134670487107</v>
      </c>
      <c r="M22">
        <v>1406523600</v>
      </c>
      <c r="N22" s="9">
        <f t="shared" si="2"/>
        <v>41848.208333333336</v>
      </c>
      <c r="O22" s="9">
        <f t="shared" si="3"/>
        <v>41848.208333333336</v>
      </c>
      <c r="P22" t="b">
        <v>0</v>
      </c>
      <c r="Q22" t="b">
        <v>0</v>
      </c>
      <c r="R22" t="s">
        <v>53</v>
      </c>
      <c r="S22" s="5" t="str" cm="1">
        <f t="array" ref="S22:T22">_xlfn.TEXTSPLIT(R22, "/")</f>
        <v>film &amp; video</v>
      </c>
      <c r="T22" s="5" t="str">
        <v>drama</v>
      </c>
    </row>
    <row r="23" spans="1:20" x14ac:dyDescent="0.25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 s="4">
        <f t="shared" si="0"/>
        <v>40.992553191489364</v>
      </c>
      <c r="K23">
        <v>1313384400</v>
      </c>
      <c r="L23" s="5">
        <f t="shared" si="1"/>
        <v>69.055555555555557</v>
      </c>
      <c r="M23">
        <v>1316322000</v>
      </c>
      <c r="N23" s="9">
        <f t="shared" si="2"/>
        <v>40770.208333333336</v>
      </c>
      <c r="O23" s="9">
        <f t="shared" si="3"/>
        <v>40804.208333333336</v>
      </c>
      <c r="P23" t="b">
        <v>0</v>
      </c>
      <c r="Q23" t="b">
        <v>0</v>
      </c>
      <c r="R23" t="s">
        <v>33</v>
      </c>
      <c r="S23" s="5" t="str" cm="1">
        <f t="array" ref="S23:T23">_xlfn.TEXTSPLIT(R23, "/")</f>
        <v>theater</v>
      </c>
      <c r="T23" s="5" t="str">
        <v>plays</v>
      </c>
    </row>
    <row r="24" spans="1:20" x14ac:dyDescent="0.25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 s="4">
        <f t="shared" si="0"/>
        <v>128.07106598984771</v>
      </c>
      <c r="K24">
        <v>1522731600</v>
      </c>
      <c r="L24" s="5">
        <f t="shared" si="1"/>
        <v>85.044943820224717</v>
      </c>
      <c r="M24">
        <v>1524027600</v>
      </c>
      <c r="N24" s="9">
        <f t="shared" si="2"/>
        <v>43193.208333333328</v>
      </c>
      <c r="O24" s="9">
        <f t="shared" si="3"/>
        <v>43208.208333333328</v>
      </c>
      <c r="P24" t="b">
        <v>0</v>
      </c>
      <c r="Q24" t="b">
        <v>0</v>
      </c>
      <c r="R24" t="s">
        <v>33</v>
      </c>
      <c r="S24" s="5" t="str" cm="1">
        <f t="array" ref="S24:T24">_xlfn.TEXTSPLIT(R24, "/")</f>
        <v>theater</v>
      </c>
      <c r="T24" s="5" t="str">
        <v>plays</v>
      </c>
    </row>
    <row r="25" spans="1:20" x14ac:dyDescent="0.25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 s="4">
        <f t="shared" si="0"/>
        <v>332.04444444444448</v>
      </c>
      <c r="K25">
        <v>1550124000</v>
      </c>
      <c r="L25" s="5">
        <f t="shared" si="1"/>
        <v>105.22535211267606</v>
      </c>
      <c r="M25">
        <v>1554699600</v>
      </c>
      <c r="N25" s="9">
        <f t="shared" si="2"/>
        <v>43510.25</v>
      </c>
      <c r="O25" s="9">
        <f t="shared" si="3"/>
        <v>43563.208333333328</v>
      </c>
      <c r="P25" t="b">
        <v>0</v>
      </c>
      <c r="Q25" t="b">
        <v>0</v>
      </c>
      <c r="R25" t="s">
        <v>42</v>
      </c>
      <c r="S25" s="5" t="str" cm="1">
        <f t="array" ref="S25:T25">_xlfn.TEXTSPLIT(R25, "/")</f>
        <v>film &amp; video</v>
      </c>
      <c r="T25" s="5" t="str">
        <v>documentary</v>
      </c>
    </row>
    <row r="26" spans="1:20" x14ac:dyDescent="0.25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 s="4">
        <f t="shared" si="0"/>
        <v>112.83225108225108</v>
      </c>
      <c r="K26">
        <v>1403326800</v>
      </c>
      <c r="L26" s="5">
        <f t="shared" si="1"/>
        <v>39.003741114852225</v>
      </c>
      <c r="M26">
        <v>1403499600</v>
      </c>
      <c r="N26" s="9">
        <f t="shared" si="2"/>
        <v>41811.208333333336</v>
      </c>
      <c r="O26" s="9">
        <f t="shared" si="3"/>
        <v>41813.208333333336</v>
      </c>
      <c r="P26" t="b">
        <v>0</v>
      </c>
      <c r="Q26" t="b">
        <v>0</v>
      </c>
      <c r="R26" t="s">
        <v>65</v>
      </c>
      <c r="S26" s="5" t="str" cm="1">
        <f t="array" ref="S26:T26">_xlfn.TEXTSPLIT(R26, "/")</f>
        <v>technology</v>
      </c>
      <c r="T26" s="5" t="str">
        <v>wearables</v>
      </c>
    </row>
    <row r="27" spans="1:20" x14ac:dyDescent="0.25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 s="4">
        <f t="shared" si="0"/>
        <v>216.43636363636364</v>
      </c>
      <c r="K27">
        <v>1305694800</v>
      </c>
      <c r="L27" s="5">
        <f t="shared" si="1"/>
        <v>73.030674846625772</v>
      </c>
      <c r="M27">
        <v>1307422800</v>
      </c>
      <c r="N27" s="9">
        <f t="shared" si="2"/>
        <v>40681.208333333336</v>
      </c>
      <c r="O27" s="9">
        <f t="shared" si="3"/>
        <v>40701.208333333336</v>
      </c>
      <c r="P27" t="b">
        <v>0</v>
      </c>
      <c r="Q27" t="b">
        <v>1</v>
      </c>
      <c r="R27" t="s">
        <v>89</v>
      </c>
      <c r="S27" s="5" t="str" cm="1">
        <f t="array" ref="S27:T27">_xlfn.TEXTSPLIT(R27, "/")</f>
        <v>games</v>
      </c>
      <c r="T27" s="5" t="str">
        <v>video games</v>
      </c>
    </row>
    <row r="28" spans="1:20" x14ac:dyDescent="0.25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 s="4">
        <f t="shared" si="0"/>
        <v>48.199069767441863</v>
      </c>
      <c r="K28">
        <v>1533013200</v>
      </c>
      <c r="L28" s="5">
        <f t="shared" si="1"/>
        <v>35.009459459459457</v>
      </c>
      <c r="M28">
        <v>1535346000</v>
      </c>
      <c r="N28" s="9">
        <f t="shared" si="2"/>
        <v>43312.208333333328</v>
      </c>
      <c r="O28" s="9">
        <f t="shared" si="3"/>
        <v>43339.208333333328</v>
      </c>
      <c r="P28" t="b">
        <v>0</v>
      </c>
      <c r="Q28" t="b">
        <v>0</v>
      </c>
      <c r="R28" t="s">
        <v>33</v>
      </c>
      <c r="S28" s="5" t="str" cm="1">
        <f t="array" ref="S28:T28">_xlfn.TEXTSPLIT(R28, "/")</f>
        <v>theater</v>
      </c>
      <c r="T28" s="5" t="str">
        <v>plays</v>
      </c>
    </row>
    <row r="29" spans="1:20" x14ac:dyDescent="0.25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 s="4">
        <f t="shared" si="0"/>
        <v>79.95</v>
      </c>
      <c r="K29">
        <v>1443848400</v>
      </c>
      <c r="L29" s="5">
        <f t="shared" si="1"/>
        <v>106.6</v>
      </c>
      <c r="M29">
        <v>1444539600</v>
      </c>
      <c r="N29" s="9">
        <f t="shared" si="2"/>
        <v>42280.208333333328</v>
      </c>
      <c r="O29" s="9">
        <f t="shared" si="3"/>
        <v>42288.208333333328</v>
      </c>
      <c r="P29" t="b">
        <v>0</v>
      </c>
      <c r="Q29" t="b">
        <v>0</v>
      </c>
      <c r="R29" t="s">
        <v>23</v>
      </c>
      <c r="S29" s="5" t="str" cm="1">
        <f t="array" ref="S29:T29">_xlfn.TEXTSPLIT(R29, "/")</f>
        <v>music</v>
      </c>
      <c r="T29" s="5" t="str">
        <v>rock</v>
      </c>
    </row>
    <row r="30" spans="1:20" x14ac:dyDescent="0.25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 s="4">
        <f t="shared" si="0"/>
        <v>105.22553516819573</v>
      </c>
      <c r="K30">
        <v>1265695200</v>
      </c>
      <c r="L30" s="5">
        <f t="shared" si="1"/>
        <v>61.997747747747745</v>
      </c>
      <c r="M30">
        <v>1267682400</v>
      </c>
      <c r="N30" s="9">
        <f t="shared" si="2"/>
        <v>40218.25</v>
      </c>
      <c r="O30" s="9">
        <f t="shared" si="3"/>
        <v>40241.25</v>
      </c>
      <c r="P30" t="b">
        <v>0</v>
      </c>
      <c r="Q30" t="b">
        <v>1</v>
      </c>
      <c r="R30" t="s">
        <v>33</v>
      </c>
      <c r="S30" s="5" t="str" cm="1">
        <f t="array" ref="S30:T30">_xlfn.TEXTSPLIT(R30, "/")</f>
        <v>theater</v>
      </c>
      <c r="T30" s="5" t="str">
        <v>plays</v>
      </c>
    </row>
    <row r="31" spans="1:20" ht="19.5" x14ac:dyDescent="0.4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 s="4">
        <f t="shared" si="0"/>
        <v>328.89978213507629</v>
      </c>
      <c r="K31">
        <v>1532062800</v>
      </c>
      <c r="L31" s="5">
        <f t="shared" si="1"/>
        <v>94.000622665006233</v>
      </c>
      <c r="M31">
        <v>1535518800</v>
      </c>
      <c r="N31" s="9">
        <f t="shared" si="2"/>
        <v>43301.208333333328</v>
      </c>
      <c r="O31" s="9">
        <f t="shared" si="3"/>
        <v>43341.208333333328</v>
      </c>
      <c r="P31" t="b">
        <v>0</v>
      </c>
      <c r="Q31" t="b">
        <v>0</v>
      </c>
      <c r="R31" t="s">
        <v>100</v>
      </c>
      <c r="S31" s="5" t="str" cm="1">
        <f t="array" ref="S31:T31">_xlfn.TEXTSPLIT(R31, "/")</f>
        <v>film &amp; video</v>
      </c>
      <c r="T31" s="5" t="str">
        <v>shorts</v>
      </c>
    </row>
    <row r="32" spans="1:20" ht="19.5" x14ac:dyDescent="0.4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 s="4">
        <f t="shared" si="0"/>
        <v>160.61111111111111</v>
      </c>
      <c r="K32">
        <v>1558674000</v>
      </c>
      <c r="L32" s="5">
        <f t="shared" si="1"/>
        <v>112.05426356589147</v>
      </c>
      <c r="M32">
        <v>1559106000</v>
      </c>
      <c r="N32" s="9">
        <f t="shared" si="2"/>
        <v>43609.208333333328</v>
      </c>
      <c r="O32" s="9">
        <f t="shared" si="3"/>
        <v>43614.208333333328</v>
      </c>
      <c r="P32" t="b">
        <v>0</v>
      </c>
      <c r="Q32" t="b">
        <v>0</v>
      </c>
      <c r="R32" t="s">
        <v>71</v>
      </c>
      <c r="S32" s="5" t="str" cm="1">
        <f t="array" ref="S32:T32">_xlfn.TEXTSPLIT(R32, "/")</f>
        <v>film &amp; video</v>
      </c>
      <c r="T32" s="5" t="str">
        <v>animation</v>
      </c>
    </row>
    <row r="33" spans="1:20" ht="19.5" x14ac:dyDescent="0.4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 s="4">
        <f t="shared" si="0"/>
        <v>310</v>
      </c>
      <c r="K33">
        <v>1451973600</v>
      </c>
      <c r="L33" s="5">
        <f t="shared" si="1"/>
        <v>48.008849557522126</v>
      </c>
      <c r="M33">
        <v>1454392800</v>
      </c>
      <c r="N33" s="9">
        <f t="shared" si="2"/>
        <v>42374.25</v>
      </c>
      <c r="O33" s="9">
        <f t="shared" si="3"/>
        <v>42402.25</v>
      </c>
      <c r="P33" t="b">
        <v>0</v>
      </c>
      <c r="Q33" t="b">
        <v>0</v>
      </c>
      <c r="R33" t="s">
        <v>89</v>
      </c>
      <c r="S33" s="5" t="str" cm="1">
        <f t="array" ref="S33:T33">_xlfn.TEXTSPLIT(R33, "/")</f>
        <v>games</v>
      </c>
      <c r="T33" s="5" t="str">
        <v>video games</v>
      </c>
    </row>
    <row r="34" spans="1:20" ht="19.5" x14ac:dyDescent="0.4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 s="4">
        <f t="shared" si="0"/>
        <v>86.807920792079202</v>
      </c>
      <c r="K34">
        <v>1515564000</v>
      </c>
      <c r="L34" s="5">
        <f t="shared" si="1"/>
        <v>38.004334633723452</v>
      </c>
      <c r="M34">
        <v>1517896800</v>
      </c>
      <c r="N34" s="9">
        <f t="shared" si="2"/>
        <v>43110.25</v>
      </c>
      <c r="O34" s="9">
        <f t="shared" si="3"/>
        <v>43137.25</v>
      </c>
      <c r="P34" t="b">
        <v>0</v>
      </c>
      <c r="Q34" t="b">
        <v>0</v>
      </c>
      <c r="R34" t="s">
        <v>42</v>
      </c>
      <c r="S34" s="5" t="str" cm="1">
        <f t="array" ref="S34:T34">_xlfn.TEXTSPLIT(R34, "/")</f>
        <v>film &amp; video</v>
      </c>
      <c r="T34" s="5" t="str">
        <v>documentary</v>
      </c>
    </row>
    <row r="35" spans="1:20" ht="19.5" x14ac:dyDescent="0.4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 s="4">
        <f t="shared" si="0"/>
        <v>377.82071713147411</v>
      </c>
      <c r="K35">
        <v>1412485200</v>
      </c>
      <c r="L35" s="5">
        <f t="shared" si="1"/>
        <v>35.000184535892231</v>
      </c>
      <c r="M35">
        <v>1415685600</v>
      </c>
      <c r="N35" s="9">
        <f t="shared" si="2"/>
        <v>41917.208333333336</v>
      </c>
      <c r="O35" s="9">
        <f t="shared" si="3"/>
        <v>41954.25</v>
      </c>
      <c r="P35" t="b">
        <v>0</v>
      </c>
      <c r="Q35" t="b">
        <v>0</v>
      </c>
      <c r="R35" t="s">
        <v>33</v>
      </c>
      <c r="S35" s="5" t="str" cm="1">
        <f t="array" ref="S35:T35">_xlfn.TEXTSPLIT(R35, "/")</f>
        <v>theater</v>
      </c>
      <c r="T35" s="5" t="str">
        <v>plays</v>
      </c>
    </row>
    <row r="36" spans="1:20" ht="33.75" x14ac:dyDescent="0.4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 s="4">
        <f t="shared" si="0"/>
        <v>150.80645161290323</v>
      </c>
      <c r="K36">
        <v>1490245200</v>
      </c>
      <c r="L36" s="5">
        <f t="shared" si="1"/>
        <v>85</v>
      </c>
      <c r="M36">
        <v>1490677200</v>
      </c>
      <c r="N36" s="9">
        <f t="shared" si="2"/>
        <v>42817.208333333328</v>
      </c>
      <c r="O36" s="9">
        <f t="shared" si="3"/>
        <v>42822.208333333328</v>
      </c>
      <c r="P36" t="b">
        <v>0</v>
      </c>
      <c r="Q36" t="b">
        <v>0</v>
      </c>
      <c r="R36" t="s">
        <v>42</v>
      </c>
      <c r="S36" s="5" t="str" cm="1">
        <f t="array" ref="S36:T36">_xlfn.TEXTSPLIT(R36, "/")</f>
        <v>film &amp; video</v>
      </c>
      <c r="T36" s="5" t="str">
        <v>documentary</v>
      </c>
    </row>
    <row r="37" spans="1:20" ht="19.5" x14ac:dyDescent="0.4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 s="4">
        <f t="shared" si="0"/>
        <v>150.30119521912351</v>
      </c>
      <c r="K37">
        <v>1547877600</v>
      </c>
      <c r="L37" s="5">
        <f t="shared" si="1"/>
        <v>95.993893129770996</v>
      </c>
      <c r="M37">
        <v>1551506400</v>
      </c>
      <c r="N37" s="9">
        <f t="shared" si="2"/>
        <v>43484.25</v>
      </c>
      <c r="O37" s="9">
        <f t="shared" si="3"/>
        <v>43526.25</v>
      </c>
      <c r="P37" t="b">
        <v>0</v>
      </c>
      <c r="Q37" t="b">
        <v>1</v>
      </c>
      <c r="R37" t="s">
        <v>53</v>
      </c>
      <c r="S37" s="5" t="str" cm="1">
        <f t="array" ref="S37:T37">_xlfn.TEXTSPLIT(R37, "/")</f>
        <v>film &amp; video</v>
      </c>
      <c r="T37" s="5" t="str">
        <v>drama</v>
      </c>
    </row>
    <row r="38" spans="1:20" ht="19.5" x14ac:dyDescent="0.4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 s="4">
        <f t="shared" si="0"/>
        <v>157.28571428571431</v>
      </c>
      <c r="K38">
        <v>1298700000</v>
      </c>
      <c r="L38" s="5">
        <f t="shared" si="1"/>
        <v>68.8125</v>
      </c>
      <c r="M38">
        <v>1300856400</v>
      </c>
      <c r="N38" s="9">
        <f t="shared" si="2"/>
        <v>40600.25</v>
      </c>
      <c r="O38" s="9">
        <f t="shared" si="3"/>
        <v>40625.208333333336</v>
      </c>
      <c r="P38" t="b">
        <v>0</v>
      </c>
      <c r="Q38" t="b">
        <v>0</v>
      </c>
      <c r="R38" t="s">
        <v>33</v>
      </c>
      <c r="S38" s="5" t="str" cm="1">
        <f t="array" ref="S38:T38">_xlfn.TEXTSPLIT(R38, "/")</f>
        <v>theater</v>
      </c>
      <c r="T38" s="5" t="str">
        <v>plays</v>
      </c>
    </row>
    <row r="39" spans="1:20" ht="33.75" x14ac:dyDescent="0.4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 s="4">
        <f t="shared" si="0"/>
        <v>139.98765432098764</v>
      </c>
      <c r="K39">
        <v>1570338000</v>
      </c>
      <c r="L39" s="5">
        <f t="shared" si="1"/>
        <v>105.97196261682242</v>
      </c>
      <c r="M39">
        <v>1573192800</v>
      </c>
      <c r="N39" s="9">
        <f t="shared" si="2"/>
        <v>43744.208333333328</v>
      </c>
      <c r="O39" s="9">
        <f t="shared" si="3"/>
        <v>43777.25</v>
      </c>
      <c r="P39" t="b">
        <v>0</v>
      </c>
      <c r="Q39" t="b">
        <v>1</v>
      </c>
      <c r="R39" t="s">
        <v>119</v>
      </c>
      <c r="S39" s="5" t="str" cm="1">
        <f t="array" ref="S39:T39">_xlfn.TEXTSPLIT(R39, "/")</f>
        <v>publishing</v>
      </c>
      <c r="T39" s="5" t="str">
        <v>fiction</v>
      </c>
    </row>
    <row r="40" spans="1:20" ht="19.5" x14ac:dyDescent="0.4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 s="4">
        <f t="shared" si="0"/>
        <v>325.32258064516128</v>
      </c>
      <c r="K40">
        <v>1287378000</v>
      </c>
      <c r="L40" s="5">
        <f t="shared" si="1"/>
        <v>75.261194029850742</v>
      </c>
      <c r="M40">
        <v>1287810000</v>
      </c>
      <c r="N40" s="9">
        <f t="shared" si="2"/>
        <v>40469.208333333336</v>
      </c>
      <c r="O40" s="9">
        <f t="shared" si="3"/>
        <v>40474.208333333336</v>
      </c>
      <c r="P40" t="b">
        <v>0</v>
      </c>
      <c r="Q40" t="b">
        <v>0</v>
      </c>
      <c r="R40" t="s">
        <v>122</v>
      </c>
      <c r="S40" s="5" t="str" cm="1">
        <f t="array" ref="S40:T40">_xlfn.TEXTSPLIT(R40, "/")</f>
        <v>photography</v>
      </c>
      <c r="T40" s="5" t="str">
        <v>photography books</v>
      </c>
    </row>
    <row r="41" spans="1:20" ht="19.5" x14ac:dyDescent="0.4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 s="4">
        <f t="shared" si="0"/>
        <v>50.777777777777779</v>
      </c>
      <c r="K41">
        <v>1361772000</v>
      </c>
      <c r="L41" s="5">
        <f t="shared" si="1"/>
        <v>57.125</v>
      </c>
      <c r="M41">
        <v>1362978000</v>
      </c>
      <c r="N41" s="9">
        <f t="shared" si="2"/>
        <v>41330.25</v>
      </c>
      <c r="O41" s="9">
        <f t="shared" si="3"/>
        <v>41344.208333333336</v>
      </c>
      <c r="P41" t="b">
        <v>0</v>
      </c>
      <c r="Q41" t="b">
        <v>0</v>
      </c>
      <c r="R41" t="s">
        <v>33</v>
      </c>
      <c r="S41" s="5" t="str" cm="1">
        <f t="array" ref="S41:T41">_xlfn.TEXTSPLIT(R41, "/")</f>
        <v>theater</v>
      </c>
      <c r="T41" s="5" t="str">
        <v>plays</v>
      </c>
    </row>
    <row r="42" spans="1:20" ht="19.5" x14ac:dyDescent="0.4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 s="4">
        <f t="shared" si="0"/>
        <v>169.06818181818181</v>
      </c>
      <c r="K42">
        <v>1275714000</v>
      </c>
      <c r="L42" s="5">
        <f t="shared" si="1"/>
        <v>75.141414141414145</v>
      </c>
      <c r="M42">
        <v>1277355600</v>
      </c>
      <c r="N42" s="9">
        <f t="shared" si="2"/>
        <v>40334.208333333336</v>
      </c>
      <c r="O42" s="9">
        <f t="shared" si="3"/>
        <v>40353.208333333336</v>
      </c>
      <c r="P42" t="b">
        <v>0</v>
      </c>
      <c r="Q42" t="b">
        <v>1</v>
      </c>
      <c r="R42" t="s">
        <v>65</v>
      </c>
      <c r="S42" s="5" t="str" cm="1">
        <f t="array" ref="S42:T42">_xlfn.TEXTSPLIT(R42, "/")</f>
        <v>technology</v>
      </c>
      <c r="T42" s="5" t="str">
        <v>wearables</v>
      </c>
    </row>
    <row r="43" spans="1:20" ht="19.5" x14ac:dyDescent="0.4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 s="4">
        <f t="shared" si="0"/>
        <v>212.92857142857144</v>
      </c>
      <c r="K43">
        <v>1346734800</v>
      </c>
      <c r="L43" s="5">
        <f t="shared" si="1"/>
        <v>107.42342342342343</v>
      </c>
      <c r="M43">
        <v>1348981200</v>
      </c>
      <c r="N43" s="9">
        <f t="shared" si="2"/>
        <v>41156.208333333336</v>
      </c>
      <c r="O43" s="9">
        <f t="shared" si="3"/>
        <v>41182.208333333336</v>
      </c>
      <c r="P43" t="b">
        <v>0</v>
      </c>
      <c r="Q43" t="b">
        <v>1</v>
      </c>
      <c r="R43" t="s">
        <v>23</v>
      </c>
      <c r="S43" s="5" t="str" cm="1">
        <f t="array" ref="S43:T43">_xlfn.TEXTSPLIT(R43, "/")</f>
        <v>music</v>
      </c>
      <c r="T43" s="5" t="str">
        <v>rock</v>
      </c>
    </row>
    <row r="44" spans="1:20" ht="19.5" x14ac:dyDescent="0.4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 s="4">
        <f t="shared" si="0"/>
        <v>443.94444444444446</v>
      </c>
      <c r="K44">
        <v>1309755600</v>
      </c>
      <c r="L44" s="5">
        <f t="shared" si="1"/>
        <v>35.995495495495497</v>
      </c>
      <c r="M44">
        <v>1310533200</v>
      </c>
      <c r="N44" s="9">
        <f t="shared" si="2"/>
        <v>40728.208333333336</v>
      </c>
      <c r="O44" s="9">
        <f t="shared" si="3"/>
        <v>40737.208333333336</v>
      </c>
      <c r="P44" t="b">
        <v>0</v>
      </c>
      <c r="Q44" t="b">
        <v>0</v>
      </c>
      <c r="R44" t="s">
        <v>17</v>
      </c>
      <c r="S44" s="5" t="str" cm="1">
        <f t="array" ref="S44:T44">_xlfn.TEXTSPLIT(R44, "/")</f>
        <v>food</v>
      </c>
      <c r="T44" s="5" t="str">
        <v>food trucks</v>
      </c>
    </row>
    <row r="45" spans="1:20" ht="19.5" x14ac:dyDescent="0.4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 s="4">
        <f t="shared" si="0"/>
        <v>185.9390243902439</v>
      </c>
      <c r="K45">
        <v>1406178000</v>
      </c>
      <c r="L45" s="5">
        <f t="shared" si="1"/>
        <v>26.998873148744366</v>
      </c>
      <c r="M45">
        <v>1407560400</v>
      </c>
      <c r="N45" s="9">
        <f t="shared" si="2"/>
        <v>41844.208333333336</v>
      </c>
      <c r="O45" s="9">
        <f t="shared" si="3"/>
        <v>41860.208333333336</v>
      </c>
      <c r="P45" t="b">
        <v>0</v>
      </c>
      <c r="Q45" t="b">
        <v>0</v>
      </c>
      <c r="R45" t="s">
        <v>133</v>
      </c>
      <c r="S45" s="5" t="str" cm="1">
        <f t="array" ref="S45:T45">_xlfn.TEXTSPLIT(R45, "/")</f>
        <v>publishing</v>
      </c>
      <c r="T45" s="5" t="str">
        <v>radio &amp; podcasts</v>
      </c>
    </row>
    <row r="46" spans="1:20" ht="19.5" x14ac:dyDescent="0.4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 s="4">
        <f t="shared" si="0"/>
        <v>658.8125</v>
      </c>
      <c r="K46">
        <v>1552798800</v>
      </c>
      <c r="L46" s="5">
        <f t="shared" si="1"/>
        <v>107.56122448979592</v>
      </c>
      <c r="M46">
        <v>1552885200</v>
      </c>
      <c r="N46" s="9">
        <f t="shared" si="2"/>
        <v>43541.208333333328</v>
      </c>
      <c r="O46" s="9">
        <f t="shared" si="3"/>
        <v>43542.208333333328</v>
      </c>
      <c r="P46" t="b">
        <v>0</v>
      </c>
      <c r="Q46" t="b">
        <v>0</v>
      </c>
      <c r="R46" t="s">
        <v>119</v>
      </c>
      <c r="S46" s="5" t="str" cm="1">
        <f t="array" ref="S46:T46">_xlfn.TEXTSPLIT(R46, "/")</f>
        <v>publishing</v>
      </c>
      <c r="T46" s="5" t="str">
        <v>fiction</v>
      </c>
    </row>
    <row r="47" spans="1:20" ht="33.75" x14ac:dyDescent="0.4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 s="4">
        <f t="shared" si="0"/>
        <v>47.684210526315788</v>
      </c>
      <c r="K47">
        <v>1478062800</v>
      </c>
      <c r="L47" s="5">
        <f t="shared" si="1"/>
        <v>94.375</v>
      </c>
      <c r="M47">
        <v>1479362400</v>
      </c>
      <c r="N47" s="9">
        <f t="shared" si="2"/>
        <v>42676.208333333328</v>
      </c>
      <c r="O47" s="9">
        <f t="shared" si="3"/>
        <v>42691.25</v>
      </c>
      <c r="P47" t="b">
        <v>0</v>
      </c>
      <c r="Q47" t="b">
        <v>1</v>
      </c>
      <c r="R47" t="s">
        <v>33</v>
      </c>
      <c r="S47" s="5" t="str" cm="1">
        <f t="array" ref="S47:T47">_xlfn.TEXTSPLIT(R47, "/")</f>
        <v>theater</v>
      </c>
      <c r="T47" s="5" t="str">
        <v>plays</v>
      </c>
    </row>
    <row r="48" spans="1:20" ht="19.5" x14ac:dyDescent="0.4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 s="4">
        <f t="shared" si="0"/>
        <v>114.78378378378378</v>
      </c>
      <c r="K48">
        <v>1278565200</v>
      </c>
      <c r="L48" s="5">
        <f t="shared" si="1"/>
        <v>46.163043478260867</v>
      </c>
      <c r="M48">
        <v>1280552400</v>
      </c>
      <c r="N48" s="9">
        <f t="shared" si="2"/>
        <v>40367.208333333336</v>
      </c>
      <c r="O48" s="9">
        <f t="shared" si="3"/>
        <v>40390.208333333336</v>
      </c>
      <c r="P48" t="b">
        <v>0</v>
      </c>
      <c r="Q48" t="b">
        <v>0</v>
      </c>
      <c r="R48" t="s">
        <v>23</v>
      </c>
      <c r="S48" s="5" t="str" cm="1">
        <f t="array" ref="S48:T48">_xlfn.TEXTSPLIT(R48, "/")</f>
        <v>music</v>
      </c>
      <c r="T48" s="5" t="str">
        <v>rock</v>
      </c>
    </row>
    <row r="49" spans="1:20" ht="19.5" x14ac:dyDescent="0.4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 s="4">
        <f t="shared" si="0"/>
        <v>475.26666666666665</v>
      </c>
      <c r="K49">
        <v>1396069200</v>
      </c>
      <c r="L49" s="5">
        <f t="shared" si="1"/>
        <v>47.845637583892618</v>
      </c>
      <c r="M49">
        <v>1398661200</v>
      </c>
      <c r="N49" s="9">
        <f t="shared" si="2"/>
        <v>41727.208333333336</v>
      </c>
      <c r="O49" s="9">
        <f t="shared" si="3"/>
        <v>41757.208333333336</v>
      </c>
      <c r="P49" t="b">
        <v>0</v>
      </c>
      <c r="Q49" t="b">
        <v>0</v>
      </c>
      <c r="R49" t="s">
        <v>33</v>
      </c>
      <c r="S49" s="5" t="str" cm="1">
        <f t="array" ref="S49:T49">_xlfn.TEXTSPLIT(R49, "/")</f>
        <v>theater</v>
      </c>
      <c r="T49" s="5" t="str">
        <v>plays</v>
      </c>
    </row>
    <row r="50" spans="1:20" ht="19.5" x14ac:dyDescent="0.4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 s="4">
        <f t="shared" si="0"/>
        <v>386.97297297297297</v>
      </c>
      <c r="K50">
        <v>1435208400</v>
      </c>
      <c r="L50" s="5">
        <f t="shared" si="1"/>
        <v>53.007815713698065</v>
      </c>
      <c r="M50">
        <v>1436245200</v>
      </c>
      <c r="N50" s="9">
        <f t="shared" si="2"/>
        <v>42180.208333333328</v>
      </c>
      <c r="O50" s="9">
        <f t="shared" si="3"/>
        <v>42192.208333333328</v>
      </c>
      <c r="P50" t="b">
        <v>0</v>
      </c>
      <c r="Q50" t="b">
        <v>0</v>
      </c>
      <c r="R50" t="s">
        <v>33</v>
      </c>
      <c r="S50" s="5" t="str" cm="1">
        <f t="array" ref="S50:T50">_xlfn.TEXTSPLIT(R50, "/")</f>
        <v>theater</v>
      </c>
      <c r="T50" s="5" t="str">
        <v>plays</v>
      </c>
    </row>
    <row r="51" spans="1:20" ht="19.5" x14ac:dyDescent="0.4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 s="4">
        <f t="shared" si="0"/>
        <v>189.625</v>
      </c>
      <c r="K51">
        <v>1571547600</v>
      </c>
      <c r="L51" s="5">
        <f t="shared" si="1"/>
        <v>45.059405940594061</v>
      </c>
      <c r="M51">
        <v>1575439200</v>
      </c>
      <c r="N51" s="9">
        <f t="shared" si="2"/>
        <v>43758.208333333328</v>
      </c>
      <c r="O51" s="9">
        <f t="shared" si="3"/>
        <v>43803.25</v>
      </c>
      <c r="P51" t="b">
        <v>0</v>
      </c>
      <c r="Q51" t="b">
        <v>0</v>
      </c>
      <c r="R51" t="s">
        <v>23</v>
      </c>
      <c r="S51" s="5" t="str" cm="1">
        <f t="array" ref="S51:T51">_xlfn.TEXTSPLIT(R51, "/")</f>
        <v>music</v>
      </c>
      <c r="T51" s="5" t="str">
        <v>rock</v>
      </c>
    </row>
    <row r="52" spans="1:20" ht="33.75" x14ac:dyDescent="0.4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 s="4">
        <f t="shared" si="0"/>
        <v>2</v>
      </c>
      <c r="K52">
        <v>1375333200</v>
      </c>
      <c r="L52" s="5">
        <f t="shared" si="1"/>
        <v>2</v>
      </c>
      <c r="M52">
        <v>1377752400</v>
      </c>
      <c r="N52" s="9">
        <f t="shared" si="2"/>
        <v>41487.208333333336</v>
      </c>
      <c r="O52" s="9">
        <f t="shared" si="3"/>
        <v>41515.208333333336</v>
      </c>
      <c r="P52" t="b">
        <v>0</v>
      </c>
      <c r="Q52" t="b">
        <v>0</v>
      </c>
      <c r="R52" t="s">
        <v>148</v>
      </c>
      <c r="S52" s="5" t="str" cm="1">
        <f t="array" ref="S52:T52">_xlfn.TEXTSPLIT(R52, "/")</f>
        <v>music</v>
      </c>
      <c r="T52" s="5" t="str">
        <v>metal</v>
      </c>
    </row>
    <row r="53" spans="1:20" ht="19.5" x14ac:dyDescent="0.4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 s="4">
        <f t="shared" si="0"/>
        <v>91.867805186590772</v>
      </c>
      <c r="K53">
        <v>1332824400</v>
      </c>
      <c r="L53" s="5">
        <f t="shared" si="1"/>
        <v>99.006816632583508</v>
      </c>
      <c r="M53">
        <v>1334206800</v>
      </c>
      <c r="N53" s="9">
        <f t="shared" si="2"/>
        <v>40995.208333333336</v>
      </c>
      <c r="O53" s="9">
        <f t="shared" si="3"/>
        <v>41011.208333333336</v>
      </c>
      <c r="P53" t="b">
        <v>0</v>
      </c>
      <c r="Q53" t="b">
        <v>1</v>
      </c>
      <c r="R53" t="s">
        <v>65</v>
      </c>
      <c r="S53" s="5" t="str" cm="1">
        <f t="array" ref="S53:T53">_xlfn.TEXTSPLIT(R53, "/")</f>
        <v>technology</v>
      </c>
      <c r="T53" s="5" t="str">
        <v>wearables</v>
      </c>
    </row>
    <row r="54" spans="1:20" ht="19.5" x14ac:dyDescent="0.4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 s="4">
        <f t="shared" si="0"/>
        <v>34.152777777777779</v>
      </c>
      <c r="K54">
        <v>1284526800</v>
      </c>
      <c r="L54" s="5">
        <f t="shared" si="1"/>
        <v>32.786666666666669</v>
      </c>
      <c r="M54">
        <v>1284872400</v>
      </c>
      <c r="N54" s="9">
        <f t="shared" si="2"/>
        <v>40436.208333333336</v>
      </c>
      <c r="O54" s="9">
        <f t="shared" si="3"/>
        <v>40440.208333333336</v>
      </c>
      <c r="P54" t="b">
        <v>0</v>
      </c>
      <c r="Q54" t="b">
        <v>0</v>
      </c>
      <c r="R54" t="s">
        <v>33</v>
      </c>
      <c r="S54" s="5" t="str" cm="1">
        <f t="array" ref="S54:T54">_xlfn.TEXTSPLIT(R54, "/")</f>
        <v>theater</v>
      </c>
      <c r="T54" s="5" t="str">
        <v>plays</v>
      </c>
    </row>
    <row r="55" spans="1:20" ht="19.5" x14ac:dyDescent="0.4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 s="4">
        <f t="shared" si="0"/>
        <v>140.40909090909091</v>
      </c>
      <c r="K55">
        <v>1400562000</v>
      </c>
      <c r="L55" s="5">
        <f t="shared" si="1"/>
        <v>59.119617224880386</v>
      </c>
      <c r="M55">
        <v>1403931600</v>
      </c>
      <c r="N55" s="9">
        <f t="shared" si="2"/>
        <v>41779.208333333336</v>
      </c>
      <c r="O55" s="9">
        <f t="shared" si="3"/>
        <v>41818.208333333336</v>
      </c>
      <c r="P55" t="b">
        <v>0</v>
      </c>
      <c r="Q55" t="b">
        <v>0</v>
      </c>
      <c r="R55" t="s">
        <v>53</v>
      </c>
      <c r="S55" s="5" t="str" cm="1">
        <f t="array" ref="S55:T55">_xlfn.TEXTSPLIT(R55, "/")</f>
        <v>film &amp; video</v>
      </c>
      <c r="T55" s="5" t="str">
        <v>drama</v>
      </c>
    </row>
    <row r="56" spans="1:20" ht="33.75" x14ac:dyDescent="0.4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 s="4">
        <f t="shared" si="0"/>
        <v>89.86666666666666</v>
      </c>
      <c r="K56">
        <v>1520748000</v>
      </c>
      <c r="L56" s="5">
        <f t="shared" si="1"/>
        <v>44.93333333333333</v>
      </c>
      <c r="M56">
        <v>1521262800</v>
      </c>
      <c r="N56" s="9">
        <f t="shared" si="2"/>
        <v>43170.25</v>
      </c>
      <c r="O56" s="9">
        <f t="shared" si="3"/>
        <v>43176.208333333328</v>
      </c>
      <c r="P56" t="b">
        <v>0</v>
      </c>
      <c r="Q56" t="b">
        <v>0</v>
      </c>
      <c r="R56" t="s">
        <v>65</v>
      </c>
      <c r="S56" s="5" t="str" cm="1">
        <f t="array" ref="S56:T56">_xlfn.TEXTSPLIT(R56, "/")</f>
        <v>technology</v>
      </c>
      <c r="T56" s="5" t="str">
        <v>wearables</v>
      </c>
    </row>
    <row r="57" spans="1:20" ht="33.75" x14ac:dyDescent="0.4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 s="4">
        <f t="shared" si="0"/>
        <v>177.96969696969697</v>
      </c>
      <c r="K57">
        <v>1532926800</v>
      </c>
      <c r="L57" s="5">
        <f t="shared" si="1"/>
        <v>89.664122137404576</v>
      </c>
      <c r="M57">
        <v>1533358800</v>
      </c>
      <c r="N57" s="9">
        <f t="shared" si="2"/>
        <v>43311.208333333328</v>
      </c>
      <c r="O57" s="9">
        <f t="shared" si="3"/>
        <v>43316.208333333328</v>
      </c>
      <c r="P57" t="b">
        <v>0</v>
      </c>
      <c r="Q57" t="b">
        <v>0</v>
      </c>
      <c r="R57" t="s">
        <v>159</v>
      </c>
      <c r="S57" s="5" t="str" cm="1">
        <f t="array" ref="S57:T57">_xlfn.TEXTSPLIT(R57, "/")</f>
        <v>music</v>
      </c>
      <c r="T57" s="5" t="str">
        <v>jazz</v>
      </c>
    </row>
    <row r="58" spans="1:20" ht="33.75" x14ac:dyDescent="0.4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 s="4">
        <f t="shared" si="0"/>
        <v>143.66249999999999</v>
      </c>
      <c r="K58">
        <v>1420869600</v>
      </c>
      <c r="L58" s="5">
        <f t="shared" si="1"/>
        <v>70.079268292682926</v>
      </c>
      <c r="M58">
        <v>1421474400</v>
      </c>
      <c r="N58" s="9">
        <f t="shared" si="2"/>
        <v>42014.25</v>
      </c>
      <c r="O58" s="9">
        <f t="shared" si="3"/>
        <v>42021.25</v>
      </c>
      <c r="P58" t="b">
        <v>0</v>
      </c>
      <c r="Q58" t="b">
        <v>0</v>
      </c>
      <c r="R58" t="s">
        <v>65</v>
      </c>
      <c r="S58" s="5" t="str" cm="1">
        <f t="array" ref="S58:T58">_xlfn.TEXTSPLIT(R58, "/")</f>
        <v>technology</v>
      </c>
      <c r="T58" s="5" t="str">
        <v>wearables</v>
      </c>
    </row>
    <row r="59" spans="1:20" ht="19.5" x14ac:dyDescent="0.4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 s="4">
        <f t="shared" si="0"/>
        <v>215.27586206896552</v>
      </c>
      <c r="K59">
        <v>1504242000</v>
      </c>
      <c r="L59" s="5">
        <f t="shared" si="1"/>
        <v>31.059701492537314</v>
      </c>
      <c r="M59">
        <v>1505278800</v>
      </c>
      <c r="N59" s="9">
        <f t="shared" si="2"/>
        <v>42979.208333333328</v>
      </c>
      <c r="O59" s="9">
        <f t="shared" si="3"/>
        <v>42991.208333333328</v>
      </c>
      <c r="P59" t="b">
        <v>0</v>
      </c>
      <c r="Q59" t="b">
        <v>0</v>
      </c>
      <c r="R59" t="s">
        <v>89</v>
      </c>
      <c r="S59" s="5" t="str" cm="1">
        <f t="array" ref="S59:T59">_xlfn.TEXTSPLIT(R59, "/")</f>
        <v>games</v>
      </c>
      <c r="T59" s="5" t="str">
        <v>video games</v>
      </c>
    </row>
    <row r="60" spans="1:20" ht="19.5" x14ac:dyDescent="0.4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 s="4">
        <f t="shared" si="0"/>
        <v>227.11111111111114</v>
      </c>
      <c r="K60">
        <v>1442811600</v>
      </c>
      <c r="L60" s="5">
        <f t="shared" si="1"/>
        <v>29.061611374407583</v>
      </c>
      <c r="M60">
        <v>1443934800</v>
      </c>
      <c r="N60" s="9">
        <f t="shared" si="2"/>
        <v>42268.208333333328</v>
      </c>
      <c r="O60" s="9">
        <f t="shared" si="3"/>
        <v>42281.208333333328</v>
      </c>
      <c r="P60" t="b">
        <v>0</v>
      </c>
      <c r="Q60" t="b">
        <v>0</v>
      </c>
      <c r="R60" t="s">
        <v>33</v>
      </c>
      <c r="S60" s="5" t="str" cm="1">
        <f t="array" ref="S60:T60">_xlfn.TEXTSPLIT(R60, "/")</f>
        <v>theater</v>
      </c>
      <c r="T60" s="5" t="str">
        <v>plays</v>
      </c>
    </row>
    <row r="61" spans="1:20" ht="19.5" x14ac:dyDescent="0.4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 s="4">
        <f t="shared" si="0"/>
        <v>275.07142857142861</v>
      </c>
      <c r="K61">
        <v>1497243600</v>
      </c>
      <c r="L61" s="5">
        <f t="shared" si="1"/>
        <v>30.0859375</v>
      </c>
      <c r="M61">
        <v>1498539600</v>
      </c>
      <c r="N61" s="9">
        <f t="shared" si="2"/>
        <v>42898.208333333328</v>
      </c>
      <c r="O61" s="9">
        <f t="shared" si="3"/>
        <v>42913.208333333328</v>
      </c>
      <c r="P61" t="b">
        <v>0</v>
      </c>
      <c r="Q61" t="b">
        <v>1</v>
      </c>
      <c r="R61" t="s">
        <v>33</v>
      </c>
      <c r="S61" s="5" t="str" cm="1">
        <f t="array" ref="S61:T61">_xlfn.TEXTSPLIT(R61, "/")</f>
        <v>theater</v>
      </c>
      <c r="T61" s="5" t="str">
        <v>plays</v>
      </c>
    </row>
    <row r="62" spans="1:20" ht="19.5" x14ac:dyDescent="0.4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 s="4">
        <f t="shared" si="0"/>
        <v>144.37048832271762</v>
      </c>
      <c r="K62">
        <v>1342501200</v>
      </c>
      <c r="L62" s="5">
        <f t="shared" si="1"/>
        <v>84.998125000000002</v>
      </c>
      <c r="M62">
        <v>1342760400</v>
      </c>
      <c r="N62" s="9">
        <f t="shared" si="2"/>
        <v>41107.208333333336</v>
      </c>
      <c r="O62" s="9">
        <f t="shared" si="3"/>
        <v>41110.208333333336</v>
      </c>
      <c r="P62" t="b">
        <v>0</v>
      </c>
      <c r="Q62" t="b">
        <v>0</v>
      </c>
      <c r="R62" t="s">
        <v>33</v>
      </c>
      <c r="S62" s="5" t="str" cm="1">
        <f t="array" ref="S62:T62">_xlfn.TEXTSPLIT(R62, "/")</f>
        <v>theater</v>
      </c>
      <c r="T62" s="5" t="str">
        <v>plays</v>
      </c>
    </row>
    <row r="63" spans="1:20" ht="33.75" x14ac:dyDescent="0.4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 s="4">
        <f t="shared" si="0"/>
        <v>92.74598393574297</v>
      </c>
      <c r="K63">
        <v>1298268000</v>
      </c>
      <c r="L63" s="5">
        <f t="shared" si="1"/>
        <v>82.001775410563695</v>
      </c>
      <c r="M63">
        <v>1301720400</v>
      </c>
      <c r="N63" s="9">
        <f t="shared" si="2"/>
        <v>40595.25</v>
      </c>
      <c r="O63" s="9">
        <f t="shared" si="3"/>
        <v>40635.208333333336</v>
      </c>
      <c r="P63" t="b">
        <v>0</v>
      </c>
      <c r="Q63" t="b">
        <v>0</v>
      </c>
      <c r="R63" t="s">
        <v>33</v>
      </c>
      <c r="S63" s="5" t="str" cm="1">
        <f t="array" ref="S63:T63">_xlfn.TEXTSPLIT(R63, "/")</f>
        <v>theater</v>
      </c>
      <c r="T63" s="5" t="str">
        <v>plays</v>
      </c>
    </row>
    <row r="64" spans="1:20" ht="19.5" x14ac:dyDescent="0.4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 s="4">
        <f t="shared" si="0"/>
        <v>722.6</v>
      </c>
      <c r="K64">
        <v>1433480400</v>
      </c>
      <c r="L64" s="5">
        <f t="shared" si="1"/>
        <v>58.040160642570278</v>
      </c>
      <c r="M64">
        <v>1433566800</v>
      </c>
      <c r="N64" s="9">
        <f t="shared" si="2"/>
        <v>42160.208333333328</v>
      </c>
      <c r="O64" s="9">
        <f t="shared" si="3"/>
        <v>42161.208333333328</v>
      </c>
      <c r="P64" t="b">
        <v>0</v>
      </c>
      <c r="Q64" t="b">
        <v>0</v>
      </c>
      <c r="R64" t="s">
        <v>28</v>
      </c>
      <c r="S64" s="5" t="str" cm="1">
        <f t="array" ref="S64:T64">_xlfn.TEXTSPLIT(R64, "/")</f>
        <v>technology</v>
      </c>
      <c r="T64" s="5" t="str">
        <v>web</v>
      </c>
    </row>
    <row r="65" spans="1:20" ht="19.5" x14ac:dyDescent="0.4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 s="4">
        <f t="shared" si="0"/>
        <v>11.851063829787234</v>
      </c>
      <c r="K65">
        <v>1493355600</v>
      </c>
      <c r="L65" s="5">
        <f t="shared" si="1"/>
        <v>111.4</v>
      </c>
      <c r="M65">
        <v>1493874000</v>
      </c>
      <c r="N65" s="9">
        <f t="shared" si="2"/>
        <v>42853.208333333328</v>
      </c>
      <c r="O65" s="9">
        <f t="shared" si="3"/>
        <v>42859.208333333328</v>
      </c>
      <c r="P65" t="b">
        <v>0</v>
      </c>
      <c r="Q65" t="b">
        <v>0</v>
      </c>
      <c r="R65" t="s">
        <v>33</v>
      </c>
      <c r="S65" s="5" t="str" cm="1">
        <f t="array" ref="S65:T65">_xlfn.TEXTSPLIT(R65, "/")</f>
        <v>theater</v>
      </c>
      <c r="T65" s="5" t="str">
        <v>plays</v>
      </c>
    </row>
    <row r="66" spans="1:20" ht="19.5" x14ac:dyDescent="0.4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 s="4">
        <f t="shared" si="0"/>
        <v>97.642857142857139</v>
      </c>
      <c r="K66">
        <v>1530507600</v>
      </c>
      <c r="L66" s="5">
        <f t="shared" si="1"/>
        <v>71.94736842105263</v>
      </c>
      <c r="M66">
        <v>1531803600</v>
      </c>
      <c r="N66" s="9">
        <f t="shared" si="2"/>
        <v>43283.208333333328</v>
      </c>
      <c r="O66" s="9">
        <f t="shared" si="3"/>
        <v>43298.208333333328</v>
      </c>
      <c r="P66" t="b">
        <v>0</v>
      </c>
      <c r="Q66" t="b">
        <v>1</v>
      </c>
      <c r="R66" t="s">
        <v>28</v>
      </c>
      <c r="S66" s="5" t="str" cm="1">
        <f t="array" ref="S66:T66">_xlfn.TEXTSPLIT(R66, "/")</f>
        <v>technology</v>
      </c>
      <c r="T66" s="5" t="str">
        <v>web</v>
      </c>
    </row>
    <row r="67" spans="1:20" ht="19.5" x14ac:dyDescent="0.4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 s="4">
        <f t="shared" ref="J67:J130" si="4">(E67/D67*100)</f>
        <v>236.14754098360655</v>
      </c>
      <c r="K67">
        <v>1296108000</v>
      </c>
      <c r="L67" s="5">
        <f t="shared" ref="L67:L130" si="5">E67/G67</f>
        <v>61.038135593220339</v>
      </c>
      <c r="M67">
        <v>1296712800</v>
      </c>
      <c r="N67" s="9">
        <f t="shared" ref="N67:N130" si="6">(((K67/60)/60)/24)+DATE(1970,1,1)</f>
        <v>40570.25</v>
      </c>
      <c r="O67" s="9">
        <f t="shared" ref="O67:O130" si="7">(((M67/60)/60)/24)+DATE(1970,1,1)</f>
        <v>40577.25</v>
      </c>
      <c r="P67" t="b">
        <v>0</v>
      </c>
      <c r="Q67" t="b">
        <v>0</v>
      </c>
      <c r="R67" t="s">
        <v>33</v>
      </c>
      <c r="S67" s="5" t="str" cm="1">
        <f t="array" ref="S67:T67">_xlfn.TEXTSPLIT(R67, "/")</f>
        <v>theater</v>
      </c>
      <c r="T67" s="5" t="str">
        <v>plays</v>
      </c>
    </row>
    <row r="68" spans="1:20" ht="19.5" x14ac:dyDescent="0.4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 s="4">
        <f t="shared" si="4"/>
        <v>45.068965517241381</v>
      </c>
      <c r="K68">
        <v>1428469200</v>
      </c>
      <c r="L68" s="5">
        <f t="shared" si="5"/>
        <v>108.91666666666667</v>
      </c>
      <c r="M68">
        <v>1428901200</v>
      </c>
      <c r="N68" s="9">
        <f t="shared" si="6"/>
        <v>42102.208333333328</v>
      </c>
      <c r="O68" s="9">
        <f t="shared" si="7"/>
        <v>42107.208333333328</v>
      </c>
      <c r="P68" t="b">
        <v>0</v>
      </c>
      <c r="Q68" t="b">
        <v>1</v>
      </c>
      <c r="R68" t="s">
        <v>33</v>
      </c>
      <c r="S68" s="5" t="str" cm="1">
        <f t="array" ref="S68:T68">_xlfn.TEXTSPLIT(R68, "/")</f>
        <v>theater</v>
      </c>
      <c r="T68" s="5" t="str">
        <v>plays</v>
      </c>
    </row>
    <row r="69" spans="1:20" ht="33.75" x14ac:dyDescent="0.4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 s="4">
        <f t="shared" si="4"/>
        <v>162.38567493112947</v>
      </c>
      <c r="K69">
        <v>1264399200</v>
      </c>
      <c r="L69" s="5">
        <f t="shared" si="5"/>
        <v>29.001722017220171</v>
      </c>
      <c r="M69">
        <v>1264831200</v>
      </c>
      <c r="N69" s="9">
        <f t="shared" si="6"/>
        <v>40203.25</v>
      </c>
      <c r="O69" s="9">
        <f t="shared" si="7"/>
        <v>40208.25</v>
      </c>
      <c r="P69" t="b">
        <v>0</v>
      </c>
      <c r="Q69" t="b">
        <v>1</v>
      </c>
      <c r="R69" t="s">
        <v>65</v>
      </c>
      <c r="S69" s="5" t="str" cm="1">
        <f t="array" ref="S69:T69">_xlfn.TEXTSPLIT(R69, "/")</f>
        <v>technology</v>
      </c>
      <c r="T69" s="5" t="str">
        <v>wearables</v>
      </c>
    </row>
    <row r="70" spans="1:20" ht="19.5" x14ac:dyDescent="0.4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 s="4">
        <f t="shared" si="4"/>
        <v>254.52631578947367</v>
      </c>
      <c r="K70">
        <v>1501131600</v>
      </c>
      <c r="L70" s="5">
        <f t="shared" si="5"/>
        <v>58.975609756097562</v>
      </c>
      <c r="M70">
        <v>1505192400</v>
      </c>
      <c r="N70" s="9">
        <f t="shared" si="6"/>
        <v>42943.208333333328</v>
      </c>
      <c r="O70" s="9">
        <f t="shared" si="7"/>
        <v>42990.208333333328</v>
      </c>
      <c r="P70" t="b">
        <v>0</v>
      </c>
      <c r="Q70" t="b">
        <v>1</v>
      </c>
      <c r="R70" t="s">
        <v>33</v>
      </c>
      <c r="S70" s="5" t="str" cm="1">
        <f t="array" ref="S70:T70">_xlfn.TEXTSPLIT(R70, "/")</f>
        <v>theater</v>
      </c>
      <c r="T70" s="5" t="str">
        <v>plays</v>
      </c>
    </row>
    <row r="71" spans="1:20" ht="19.5" x14ac:dyDescent="0.4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 s="4">
        <f t="shared" si="4"/>
        <v>24.063291139240505</v>
      </c>
      <c r="K71">
        <v>1292738400</v>
      </c>
      <c r="L71" s="5">
        <f t="shared" si="5"/>
        <v>111.82352941176471</v>
      </c>
      <c r="M71">
        <v>1295676000</v>
      </c>
      <c r="N71" s="9">
        <f t="shared" si="6"/>
        <v>40531.25</v>
      </c>
      <c r="O71" s="9">
        <f t="shared" si="7"/>
        <v>40565.25</v>
      </c>
      <c r="P71" t="b">
        <v>0</v>
      </c>
      <c r="Q71" t="b">
        <v>0</v>
      </c>
      <c r="R71" t="s">
        <v>33</v>
      </c>
      <c r="S71" s="5" t="str" cm="1">
        <f t="array" ref="S71:T71">_xlfn.TEXTSPLIT(R71, "/")</f>
        <v>theater</v>
      </c>
      <c r="T71" s="5" t="str">
        <v>plays</v>
      </c>
    </row>
    <row r="72" spans="1:20" ht="19.5" x14ac:dyDescent="0.4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 s="4">
        <f t="shared" si="4"/>
        <v>123.74140625000001</v>
      </c>
      <c r="K72">
        <v>1288674000</v>
      </c>
      <c r="L72" s="5">
        <f t="shared" si="5"/>
        <v>63.995555555555555</v>
      </c>
      <c r="M72">
        <v>1292911200</v>
      </c>
      <c r="N72" s="9">
        <f t="shared" si="6"/>
        <v>40484.208333333336</v>
      </c>
      <c r="O72" s="9">
        <f t="shared" si="7"/>
        <v>40533.25</v>
      </c>
      <c r="P72" t="b">
        <v>0</v>
      </c>
      <c r="Q72" t="b">
        <v>1</v>
      </c>
      <c r="R72" t="s">
        <v>33</v>
      </c>
      <c r="S72" s="5" t="str" cm="1">
        <f t="array" ref="S72:T72">_xlfn.TEXTSPLIT(R72, "/")</f>
        <v>theater</v>
      </c>
      <c r="T72" s="5" t="str">
        <v>plays</v>
      </c>
    </row>
    <row r="73" spans="1:20" ht="33.75" x14ac:dyDescent="0.4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 s="4">
        <f t="shared" si="4"/>
        <v>108.06666666666666</v>
      </c>
      <c r="K73">
        <v>1575093600</v>
      </c>
      <c r="L73" s="5">
        <f t="shared" si="5"/>
        <v>85.315789473684205</v>
      </c>
      <c r="M73">
        <v>1575439200</v>
      </c>
      <c r="N73" s="9">
        <f t="shared" si="6"/>
        <v>43799.25</v>
      </c>
      <c r="O73" s="9">
        <f t="shared" si="7"/>
        <v>43803.25</v>
      </c>
      <c r="P73" t="b">
        <v>0</v>
      </c>
      <c r="Q73" t="b">
        <v>0</v>
      </c>
      <c r="R73" t="s">
        <v>33</v>
      </c>
      <c r="S73" s="5" t="str" cm="1">
        <f t="array" ref="S73:T73">_xlfn.TEXTSPLIT(R73, "/")</f>
        <v>theater</v>
      </c>
      <c r="T73" s="5" t="str">
        <v>plays</v>
      </c>
    </row>
    <row r="74" spans="1:20" ht="19.5" x14ac:dyDescent="0.4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 s="4">
        <f t="shared" si="4"/>
        <v>670.33333333333326</v>
      </c>
      <c r="K74">
        <v>1435726800</v>
      </c>
      <c r="L74" s="5">
        <f t="shared" si="5"/>
        <v>74.481481481481481</v>
      </c>
      <c r="M74">
        <v>1438837200</v>
      </c>
      <c r="N74" s="9">
        <f t="shared" si="6"/>
        <v>42186.208333333328</v>
      </c>
      <c r="O74" s="9">
        <f t="shared" si="7"/>
        <v>42222.208333333328</v>
      </c>
      <c r="P74" t="b">
        <v>0</v>
      </c>
      <c r="Q74" t="b">
        <v>0</v>
      </c>
      <c r="R74" t="s">
        <v>71</v>
      </c>
      <c r="S74" s="5" t="str" cm="1">
        <f t="array" ref="S74:T74">_xlfn.TEXTSPLIT(R74, "/")</f>
        <v>film &amp; video</v>
      </c>
      <c r="T74" s="5" t="str">
        <v>animation</v>
      </c>
    </row>
    <row r="75" spans="1:20" ht="19.5" x14ac:dyDescent="0.4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 s="4">
        <f t="shared" si="4"/>
        <v>660.92857142857144</v>
      </c>
      <c r="K75">
        <v>1480226400</v>
      </c>
      <c r="L75" s="5">
        <f t="shared" si="5"/>
        <v>105.14772727272727</v>
      </c>
      <c r="M75">
        <v>1480485600</v>
      </c>
      <c r="N75" s="9">
        <f t="shared" si="6"/>
        <v>42701.25</v>
      </c>
      <c r="O75" s="9">
        <f t="shared" si="7"/>
        <v>42704.25</v>
      </c>
      <c r="P75" t="b">
        <v>0</v>
      </c>
      <c r="Q75" t="b">
        <v>0</v>
      </c>
      <c r="R75" t="s">
        <v>159</v>
      </c>
      <c r="S75" s="5" t="str" cm="1">
        <f t="array" ref="S75:T75">_xlfn.TEXTSPLIT(R75, "/")</f>
        <v>music</v>
      </c>
      <c r="T75" s="5" t="str">
        <v>jazz</v>
      </c>
    </row>
    <row r="76" spans="1:20" ht="19.5" x14ac:dyDescent="0.4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 s="4">
        <f t="shared" si="4"/>
        <v>122.46153846153847</v>
      </c>
      <c r="K76">
        <v>1459054800</v>
      </c>
      <c r="L76" s="5">
        <f t="shared" si="5"/>
        <v>56.188235294117646</v>
      </c>
      <c r="M76">
        <v>1459141200</v>
      </c>
      <c r="N76" s="9">
        <f t="shared" si="6"/>
        <v>42456.208333333328</v>
      </c>
      <c r="O76" s="9">
        <f t="shared" si="7"/>
        <v>42457.208333333328</v>
      </c>
      <c r="P76" t="b">
        <v>0</v>
      </c>
      <c r="Q76" t="b">
        <v>0</v>
      </c>
      <c r="R76" t="s">
        <v>148</v>
      </c>
      <c r="S76" s="5" t="str" cm="1">
        <f t="array" ref="S76:T76">_xlfn.TEXTSPLIT(R76, "/")</f>
        <v>music</v>
      </c>
      <c r="T76" s="5" t="str">
        <v>metal</v>
      </c>
    </row>
    <row r="77" spans="1:20" ht="19.5" x14ac:dyDescent="0.4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 s="4">
        <f t="shared" si="4"/>
        <v>150.57731958762886</v>
      </c>
      <c r="K77">
        <v>1531630800</v>
      </c>
      <c r="L77" s="5">
        <f t="shared" si="5"/>
        <v>85.917647058823533</v>
      </c>
      <c r="M77">
        <v>1532322000</v>
      </c>
      <c r="N77" s="9">
        <f t="shared" si="6"/>
        <v>43296.208333333328</v>
      </c>
      <c r="O77" s="9">
        <f t="shared" si="7"/>
        <v>43304.208333333328</v>
      </c>
      <c r="P77" t="b">
        <v>0</v>
      </c>
      <c r="Q77" t="b">
        <v>0</v>
      </c>
      <c r="R77" t="s">
        <v>122</v>
      </c>
      <c r="S77" s="5" t="str" cm="1">
        <f t="array" ref="S77:T77">_xlfn.TEXTSPLIT(R77, "/")</f>
        <v>photography</v>
      </c>
      <c r="T77" s="5" t="str">
        <v>photography books</v>
      </c>
    </row>
    <row r="78" spans="1:20" ht="19.5" x14ac:dyDescent="0.4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 s="4">
        <f t="shared" si="4"/>
        <v>78.106590724165997</v>
      </c>
      <c r="K78">
        <v>1421992800</v>
      </c>
      <c r="L78" s="5">
        <f t="shared" si="5"/>
        <v>57.00296912114014</v>
      </c>
      <c r="M78">
        <v>1426222800</v>
      </c>
      <c r="N78" s="9">
        <f t="shared" si="6"/>
        <v>42027.25</v>
      </c>
      <c r="O78" s="9">
        <f t="shared" si="7"/>
        <v>42076.208333333328</v>
      </c>
      <c r="P78" t="b">
        <v>1</v>
      </c>
      <c r="Q78" t="b">
        <v>1</v>
      </c>
      <c r="R78" t="s">
        <v>33</v>
      </c>
      <c r="S78" s="5" t="str" cm="1">
        <f t="array" ref="S78:T78">_xlfn.TEXTSPLIT(R78, "/")</f>
        <v>theater</v>
      </c>
      <c r="T78" s="5" t="str">
        <v>plays</v>
      </c>
    </row>
    <row r="79" spans="1:20" ht="19.5" x14ac:dyDescent="0.4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 s="4">
        <f t="shared" si="4"/>
        <v>46.94736842105263</v>
      </c>
      <c r="K79">
        <v>1285563600</v>
      </c>
      <c r="L79" s="5">
        <f t="shared" si="5"/>
        <v>79.642857142857139</v>
      </c>
      <c r="M79">
        <v>1286773200</v>
      </c>
      <c r="N79" s="9">
        <f t="shared" si="6"/>
        <v>40448.208333333336</v>
      </c>
      <c r="O79" s="9">
        <f t="shared" si="7"/>
        <v>40462.208333333336</v>
      </c>
      <c r="P79" t="b">
        <v>0</v>
      </c>
      <c r="Q79" t="b">
        <v>1</v>
      </c>
      <c r="R79" t="s">
        <v>71</v>
      </c>
      <c r="S79" s="5" t="str" cm="1">
        <f t="array" ref="S79:T79">_xlfn.TEXTSPLIT(R79, "/")</f>
        <v>film &amp; video</v>
      </c>
      <c r="T79" s="5" t="str">
        <v>animation</v>
      </c>
    </row>
    <row r="80" spans="1:20" ht="19.5" x14ac:dyDescent="0.4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 s="4">
        <f t="shared" si="4"/>
        <v>300.8</v>
      </c>
      <c r="K80">
        <v>1523854800</v>
      </c>
      <c r="L80" s="5">
        <f t="shared" si="5"/>
        <v>41.018181818181816</v>
      </c>
      <c r="M80">
        <v>1523941200</v>
      </c>
      <c r="N80" s="9">
        <f t="shared" si="6"/>
        <v>43206.208333333328</v>
      </c>
      <c r="O80" s="9">
        <f t="shared" si="7"/>
        <v>43207.208333333328</v>
      </c>
      <c r="P80" t="b">
        <v>0</v>
      </c>
      <c r="Q80" t="b">
        <v>0</v>
      </c>
      <c r="R80" t="s">
        <v>206</v>
      </c>
      <c r="S80" s="5" t="str" cm="1">
        <f t="array" ref="S80:T80">_xlfn.TEXTSPLIT(R80, "/")</f>
        <v>publishing</v>
      </c>
      <c r="T80" s="5" t="str">
        <v>translations</v>
      </c>
    </row>
    <row r="81" spans="1:20" ht="19.5" x14ac:dyDescent="0.4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 s="4">
        <f t="shared" si="4"/>
        <v>69.598615916955026</v>
      </c>
      <c r="K81">
        <v>1529125200</v>
      </c>
      <c r="L81" s="5">
        <f t="shared" si="5"/>
        <v>48.004773269689736</v>
      </c>
      <c r="M81">
        <v>1529557200</v>
      </c>
      <c r="N81" s="9">
        <f t="shared" si="6"/>
        <v>43267.208333333328</v>
      </c>
      <c r="O81" s="9">
        <f t="shared" si="7"/>
        <v>43272.208333333328</v>
      </c>
      <c r="P81" t="b">
        <v>0</v>
      </c>
      <c r="Q81" t="b">
        <v>0</v>
      </c>
      <c r="R81" t="s">
        <v>33</v>
      </c>
      <c r="S81" s="5" t="str" cm="1">
        <f t="array" ref="S81:T81">_xlfn.TEXTSPLIT(R81, "/")</f>
        <v>theater</v>
      </c>
      <c r="T81" s="5" t="str">
        <v>plays</v>
      </c>
    </row>
    <row r="82" spans="1:20" ht="19.5" x14ac:dyDescent="0.4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 s="4">
        <f t="shared" si="4"/>
        <v>637.4545454545455</v>
      </c>
      <c r="K82">
        <v>1503982800</v>
      </c>
      <c r="L82" s="5">
        <f t="shared" si="5"/>
        <v>55.212598425196852</v>
      </c>
      <c r="M82">
        <v>1506574800</v>
      </c>
      <c r="N82" s="9">
        <f t="shared" si="6"/>
        <v>42976.208333333328</v>
      </c>
      <c r="O82" s="9">
        <f t="shared" si="7"/>
        <v>43006.208333333328</v>
      </c>
      <c r="P82" t="b">
        <v>0</v>
      </c>
      <c r="Q82" t="b">
        <v>0</v>
      </c>
      <c r="R82" t="s">
        <v>89</v>
      </c>
      <c r="S82" s="5" t="str" cm="1">
        <f t="array" ref="S82:T82">_xlfn.TEXTSPLIT(R82, "/")</f>
        <v>games</v>
      </c>
      <c r="T82" s="5" t="str">
        <v>video games</v>
      </c>
    </row>
    <row r="83" spans="1:20" ht="19.5" x14ac:dyDescent="0.4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 s="4">
        <f t="shared" si="4"/>
        <v>225.33928571428569</v>
      </c>
      <c r="K83">
        <v>1511416800</v>
      </c>
      <c r="L83" s="5">
        <f t="shared" si="5"/>
        <v>92.109489051094897</v>
      </c>
      <c r="M83">
        <v>1513576800</v>
      </c>
      <c r="N83" s="9">
        <f t="shared" si="6"/>
        <v>43062.25</v>
      </c>
      <c r="O83" s="9">
        <f t="shared" si="7"/>
        <v>43087.25</v>
      </c>
      <c r="P83" t="b">
        <v>0</v>
      </c>
      <c r="Q83" t="b">
        <v>0</v>
      </c>
      <c r="R83" t="s">
        <v>23</v>
      </c>
      <c r="S83" s="5" t="str" cm="1">
        <f t="array" ref="S83:T83">_xlfn.TEXTSPLIT(R83, "/")</f>
        <v>music</v>
      </c>
      <c r="T83" s="5" t="str">
        <v>rock</v>
      </c>
    </row>
    <row r="84" spans="1:20" ht="19.5" x14ac:dyDescent="0.4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 s="4">
        <f t="shared" si="4"/>
        <v>1497.3000000000002</v>
      </c>
      <c r="K84">
        <v>1547704800</v>
      </c>
      <c r="L84" s="5">
        <f t="shared" si="5"/>
        <v>83.183333333333337</v>
      </c>
      <c r="M84">
        <v>1548309600</v>
      </c>
      <c r="N84" s="9">
        <f t="shared" si="6"/>
        <v>43482.25</v>
      </c>
      <c r="O84" s="9">
        <f t="shared" si="7"/>
        <v>43489.25</v>
      </c>
      <c r="P84" t="b">
        <v>0</v>
      </c>
      <c r="Q84" t="b">
        <v>1</v>
      </c>
      <c r="R84" t="s">
        <v>89</v>
      </c>
      <c r="S84" s="5" t="str" cm="1">
        <f t="array" ref="S84:T84">_xlfn.TEXTSPLIT(R84, "/")</f>
        <v>games</v>
      </c>
      <c r="T84" s="5" t="str">
        <v>video games</v>
      </c>
    </row>
    <row r="85" spans="1:20" ht="19.5" x14ac:dyDescent="0.4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 s="4">
        <f t="shared" si="4"/>
        <v>37.590225563909776</v>
      </c>
      <c r="K85">
        <v>1469682000</v>
      </c>
      <c r="L85" s="5">
        <f t="shared" si="5"/>
        <v>39.996000000000002</v>
      </c>
      <c r="M85">
        <v>1471582800</v>
      </c>
      <c r="N85" s="9">
        <f t="shared" si="6"/>
        <v>42579.208333333328</v>
      </c>
      <c r="O85" s="9">
        <f t="shared" si="7"/>
        <v>42601.208333333328</v>
      </c>
      <c r="P85" t="b">
        <v>0</v>
      </c>
      <c r="Q85" t="b">
        <v>0</v>
      </c>
      <c r="R85" t="s">
        <v>50</v>
      </c>
      <c r="S85" s="5" t="str" cm="1">
        <f t="array" ref="S85:T85">_xlfn.TEXTSPLIT(R85, "/")</f>
        <v>music</v>
      </c>
      <c r="T85" s="5" t="str">
        <v>electric music</v>
      </c>
    </row>
    <row r="86" spans="1:20" ht="19.5" x14ac:dyDescent="0.4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 s="4">
        <f t="shared" si="4"/>
        <v>132.36942675159236</v>
      </c>
      <c r="K86">
        <v>1343451600</v>
      </c>
      <c r="L86" s="5">
        <f t="shared" si="5"/>
        <v>111.1336898395722</v>
      </c>
      <c r="M86">
        <v>1344315600</v>
      </c>
      <c r="N86" s="9">
        <f t="shared" si="6"/>
        <v>41118.208333333336</v>
      </c>
      <c r="O86" s="9">
        <f t="shared" si="7"/>
        <v>41128.208333333336</v>
      </c>
      <c r="P86" t="b">
        <v>0</v>
      </c>
      <c r="Q86" t="b">
        <v>0</v>
      </c>
      <c r="R86" t="s">
        <v>65</v>
      </c>
      <c r="S86" s="5" t="str" cm="1">
        <f t="array" ref="S86:T86">_xlfn.TEXTSPLIT(R86, "/")</f>
        <v>technology</v>
      </c>
      <c r="T86" s="5" t="str">
        <v>wearables</v>
      </c>
    </row>
    <row r="87" spans="1:20" ht="19.5" x14ac:dyDescent="0.4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 s="4">
        <f t="shared" si="4"/>
        <v>131.22448979591837</v>
      </c>
      <c r="K87">
        <v>1315717200</v>
      </c>
      <c r="L87" s="5">
        <f t="shared" si="5"/>
        <v>90.563380281690144</v>
      </c>
      <c r="M87">
        <v>1316408400</v>
      </c>
      <c r="N87" s="9">
        <f t="shared" si="6"/>
        <v>40797.208333333336</v>
      </c>
      <c r="O87" s="9">
        <f t="shared" si="7"/>
        <v>40805.208333333336</v>
      </c>
      <c r="P87" t="b">
        <v>0</v>
      </c>
      <c r="Q87" t="b">
        <v>0</v>
      </c>
      <c r="R87" t="s">
        <v>60</v>
      </c>
      <c r="S87" s="5" t="str" cm="1">
        <f t="array" ref="S87:T87">_xlfn.TEXTSPLIT(R87, "/")</f>
        <v>music</v>
      </c>
      <c r="T87" s="5" t="str">
        <v>indie rock</v>
      </c>
    </row>
    <row r="88" spans="1:20" ht="19.5" x14ac:dyDescent="0.4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 s="4">
        <f t="shared" si="4"/>
        <v>167.63513513513513</v>
      </c>
      <c r="K88">
        <v>1430715600</v>
      </c>
      <c r="L88" s="5">
        <f t="shared" si="5"/>
        <v>61.108374384236456</v>
      </c>
      <c r="M88">
        <v>1431838800</v>
      </c>
      <c r="N88" s="9">
        <f t="shared" si="6"/>
        <v>42128.208333333328</v>
      </c>
      <c r="O88" s="9">
        <f t="shared" si="7"/>
        <v>42141.208333333328</v>
      </c>
      <c r="P88" t="b">
        <v>1</v>
      </c>
      <c r="Q88" t="b">
        <v>0</v>
      </c>
      <c r="R88" t="s">
        <v>33</v>
      </c>
      <c r="S88" s="5" t="str" cm="1">
        <f t="array" ref="S88:T88">_xlfn.TEXTSPLIT(R88, "/")</f>
        <v>theater</v>
      </c>
      <c r="T88" s="5" t="str">
        <v>plays</v>
      </c>
    </row>
    <row r="89" spans="1:20" ht="33.75" x14ac:dyDescent="0.4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 s="4">
        <f t="shared" si="4"/>
        <v>61.984886649874063</v>
      </c>
      <c r="K89">
        <v>1299564000</v>
      </c>
      <c r="L89" s="5">
        <f t="shared" si="5"/>
        <v>83.022941970310384</v>
      </c>
      <c r="M89">
        <v>1300510800</v>
      </c>
      <c r="N89" s="9">
        <f t="shared" si="6"/>
        <v>40610.25</v>
      </c>
      <c r="O89" s="9">
        <f t="shared" si="7"/>
        <v>40621.208333333336</v>
      </c>
      <c r="P89" t="b">
        <v>0</v>
      </c>
      <c r="Q89" t="b">
        <v>1</v>
      </c>
      <c r="R89" t="s">
        <v>23</v>
      </c>
      <c r="S89" s="5" t="str" cm="1">
        <f t="array" ref="S89:T89">_xlfn.TEXTSPLIT(R89, "/")</f>
        <v>music</v>
      </c>
      <c r="T89" s="5" t="str">
        <v>rock</v>
      </c>
    </row>
    <row r="90" spans="1:20" ht="19.5" x14ac:dyDescent="0.4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 s="4">
        <f t="shared" si="4"/>
        <v>260.75</v>
      </c>
      <c r="K90">
        <v>1429160400</v>
      </c>
      <c r="L90" s="5">
        <f t="shared" si="5"/>
        <v>110.76106194690266</v>
      </c>
      <c r="M90">
        <v>1431061200</v>
      </c>
      <c r="N90" s="9">
        <f t="shared" si="6"/>
        <v>42110.208333333328</v>
      </c>
      <c r="O90" s="9">
        <f t="shared" si="7"/>
        <v>42132.208333333328</v>
      </c>
      <c r="P90" t="b">
        <v>0</v>
      </c>
      <c r="Q90" t="b">
        <v>0</v>
      </c>
      <c r="R90" t="s">
        <v>206</v>
      </c>
      <c r="S90" s="5" t="str" cm="1">
        <f t="array" ref="S90:T90">_xlfn.TEXTSPLIT(R90, "/")</f>
        <v>publishing</v>
      </c>
      <c r="T90" s="5" t="str">
        <v>translations</v>
      </c>
    </row>
    <row r="91" spans="1:20" ht="19.5" x14ac:dyDescent="0.4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 s="4">
        <f t="shared" si="4"/>
        <v>252.58823529411765</v>
      </c>
      <c r="K91">
        <v>1271307600</v>
      </c>
      <c r="L91" s="5">
        <f t="shared" si="5"/>
        <v>89.458333333333329</v>
      </c>
      <c r="M91">
        <v>1271480400</v>
      </c>
      <c r="N91" s="9">
        <f t="shared" si="6"/>
        <v>40283.208333333336</v>
      </c>
      <c r="O91" s="9">
        <f t="shared" si="7"/>
        <v>40285.208333333336</v>
      </c>
      <c r="P91" t="b">
        <v>0</v>
      </c>
      <c r="Q91" t="b">
        <v>0</v>
      </c>
      <c r="R91" t="s">
        <v>33</v>
      </c>
      <c r="S91" s="5" t="str" cm="1">
        <f t="array" ref="S91:T91">_xlfn.TEXTSPLIT(R91, "/")</f>
        <v>theater</v>
      </c>
      <c r="T91" s="5" t="str">
        <v>plays</v>
      </c>
    </row>
    <row r="92" spans="1:20" ht="19.5" x14ac:dyDescent="0.4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 s="4">
        <f t="shared" si="4"/>
        <v>78.615384615384613</v>
      </c>
      <c r="K92">
        <v>1456380000</v>
      </c>
      <c r="L92" s="5">
        <f t="shared" si="5"/>
        <v>57.849056603773583</v>
      </c>
      <c r="M92">
        <v>1456380000</v>
      </c>
      <c r="N92" s="9">
        <f t="shared" si="6"/>
        <v>42425.25</v>
      </c>
      <c r="O92" s="9">
        <f t="shared" si="7"/>
        <v>42425.25</v>
      </c>
      <c r="P92" t="b">
        <v>0</v>
      </c>
      <c r="Q92" t="b">
        <v>1</v>
      </c>
      <c r="R92" t="s">
        <v>33</v>
      </c>
      <c r="S92" s="5" t="str" cm="1">
        <f t="array" ref="S92:T92">_xlfn.TEXTSPLIT(R92, "/")</f>
        <v>theater</v>
      </c>
      <c r="T92" s="5" t="str">
        <v>plays</v>
      </c>
    </row>
    <row r="93" spans="1:20" ht="19.5" x14ac:dyDescent="0.4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 s="4">
        <f t="shared" si="4"/>
        <v>48.404406999351913</v>
      </c>
      <c r="K93">
        <v>1470459600</v>
      </c>
      <c r="L93" s="5">
        <f t="shared" si="5"/>
        <v>109.99705449189985</v>
      </c>
      <c r="M93">
        <v>1472878800</v>
      </c>
      <c r="N93" s="9">
        <f t="shared" si="6"/>
        <v>42588.208333333328</v>
      </c>
      <c r="O93" s="9">
        <f t="shared" si="7"/>
        <v>42616.208333333328</v>
      </c>
      <c r="P93" t="b">
        <v>0</v>
      </c>
      <c r="Q93" t="b">
        <v>0</v>
      </c>
      <c r="R93" t="s">
        <v>206</v>
      </c>
      <c r="S93" s="5" t="str" cm="1">
        <f t="array" ref="S93:T93">_xlfn.TEXTSPLIT(R93, "/")</f>
        <v>publishing</v>
      </c>
      <c r="T93" s="5" t="str">
        <v>translations</v>
      </c>
    </row>
    <row r="94" spans="1:20" ht="33.75" x14ac:dyDescent="0.4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 s="4">
        <f t="shared" si="4"/>
        <v>258.875</v>
      </c>
      <c r="K94">
        <v>1277269200</v>
      </c>
      <c r="L94" s="5">
        <f t="shared" si="5"/>
        <v>103.96586345381526</v>
      </c>
      <c r="M94">
        <v>1277355600</v>
      </c>
      <c r="N94" s="9">
        <f t="shared" si="6"/>
        <v>40352.208333333336</v>
      </c>
      <c r="O94" s="9">
        <f t="shared" si="7"/>
        <v>40353.208333333336</v>
      </c>
      <c r="P94" t="b">
        <v>0</v>
      </c>
      <c r="Q94" t="b">
        <v>1</v>
      </c>
      <c r="R94" t="s">
        <v>89</v>
      </c>
      <c r="S94" s="5" t="str" cm="1">
        <f t="array" ref="S94:T94">_xlfn.TEXTSPLIT(R94, "/")</f>
        <v>games</v>
      </c>
      <c r="T94" s="5" t="str">
        <v>video games</v>
      </c>
    </row>
    <row r="95" spans="1:20" ht="19.5" x14ac:dyDescent="0.4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 s="4">
        <f t="shared" si="4"/>
        <v>60.548713235294116</v>
      </c>
      <c r="K95">
        <v>1350709200</v>
      </c>
      <c r="L95" s="5">
        <f t="shared" si="5"/>
        <v>107.99508196721311</v>
      </c>
      <c r="M95">
        <v>1351054800</v>
      </c>
      <c r="N95" s="9">
        <f t="shared" si="6"/>
        <v>41202.208333333336</v>
      </c>
      <c r="O95" s="9">
        <f t="shared" si="7"/>
        <v>41206.208333333336</v>
      </c>
      <c r="P95" t="b">
        <v>0</v>
      </c>
      <c r="Q95" t="b">
        <v>1</v>
      </c>
      <c r="R95" t="s">
        <v>33</v>
      </c>
      <c r="S95" s="5" t="str" cm="1">
        <f t="array" ref="S95:T95">_xlfn.TEXTSPLIT(R95, "/")</f>
        <v>theater</v>
      </c>
      <c r="T95" s="5" t="str">
        <v>plays</v>
      </c>
    </row>
    <row r="96" spans="1:20" ht="19.5" x14ac:dyDescent="0.4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 s="4">
        <f t="shared" si="4"/>
        <v>303.68965517241378</v>
      </c>
      <c r="K96">
        <v>1554613200</v>
      </c>
      <c r="L96" s="5">
        <f t="shared" si="5"/>
        <v>48.927777777777777</v>
      </c>
      <c r="M96">
        <v>1555563600</v>
      </c>
      <c r="N96" s="9">
        <f t="shared" si="6"/>
        <v>43562.208333333328</v>
      </c>
      <c r="O96" s="9">
        <f t="shared" si="7"/>
        <v>43573.208333333328</v>
      </c>
      <c r="P96" t="b">
        <v>0</v>
      </c>
      <c r="Q96" t="b">
        <v>0</v>
      </c>
      <c r="R96" t="s">
        <v>28</v>
      </c>
      <c r="S96" s="5" t="str" cm="1">
        <f t="array" ref="S96:T96">_xlfn.TEXTSPLIT(R96, "/")</f>
        <v>technology</v>
      </c>
      <c r="T96" s="5" t="str">
        <v>web</v>
      </c>
    </row>
    <row r="97" spans="1:20" ht="33.75" x14ac:dyDescent="0.4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 s="4">
        <f t="shared" si="4"/>
        <v>112.99999999999999</v>
      </c>
      <c r="K97">
        <v>1571029200</v>
      </c>
      <c r="L97" s="5">
        <f t="shared" si="5"/>
        <v>37.666666666666664</v>
      </c>
      <c r="M97">
        <v>1571634000</v>
      </c>
      <c r="N97" s="9">
        <f t="shared" si="6"/>
        <v>43752.208333333328</v>
      </c>
      <c r="O97" s="9">
        <f t="shared" si="7"/>
        <v>43759.208333333328</v>
      </c>
      <c r="P97" t="b">
        <v>0</v>
      </c>
      <c r="Q97" t="b">
        <v>0</v>
      </c>
      <c r="R97" t="s">
        <v>42</v>
      </c>
      <c r="S97" s="5" t="str" cm="1">
        <f t="array" ref="S97:T97">_xlfn.TEXTSPLIT(R97, "/")</f>
        <v>film &amp; video</v>
      </c>
      <c r="T97" s="5" t="str">
        <v>documentary</v>
      </c>
    </row>
    <row r="98" spans="1:20" ht="19.5" x14ac:dyDescent="0.4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 s="4">
        <f t="shared" si="4"/>
        <v>217.37876614060258</v>
      </c>
      <c r="K98">
        <v>1299736800</v>
      </c>
      <c r="L98" s="5">
        <f t="shared" si="5"/>
        <v>64.999141999141997</v>
      </c>
      <c r="M98">
        <v>1300856400</v>
      </c>
      <c r="N98" s="9">
        <f t="shared" si="6"/>
        <v>40612.25</v>
      </c>
      <c r="O98" s="9">
        <f t="shared" si="7"/>
        <v>40625.208333333336</v>
      </c>
      <c r="P98" t="b">
        <v>0</v>
      </c>
      <c r="Q98" t="b">
        <v>0</v>
      </c>
      <c r="R98" t="s">
        <v>33</v>
      </c>
      <c r="S98" s="5" t="str" cm="1">
        <f t="array" ref="S98:T98">_xlfn.TEXTSPLIT(R98, "/")</f>
        <v>theater</v>
      </c>
      <c r="T98" s="5" t="str">
        <v>plays</v>
      </c>
    </row>
    <row r="99" spans="1:20" ht="19.5" x14ac:dyDescent="0.4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 s="4">
        <f t="shared" si="4"/>
        <v>926.69230769230762</v>
      </c>
      <c r="K99">
        <v>1435208400</v>
      </c>
      <c r="L99" s="5">
        <f t="shared" si="5"/>
        <v>106.61061946902655</v>
      </c>
      <c r="M99">
        <v>1439874000</v>
      </c>
      <c r="N99" s="9">
        <f t="shared" si="6"/>
        <v>42180.208333333328</v>
      </c>
      <c r="O99" s="9">
        <f t="shared" si="7"/>
        <v>42234.208333333328</v>
      </c>
      <c r="P99" t="b">
        <v>0</v>
      </c>
      <c r="Q99" t="b">
        <v>0</v>
      </c>
      <c r="R99" t="s">
        <v>17</v>
      </c>
      <c r="S99" s="5" t="str" cm="1">
        <f t="array" ref="S99:T99">_xlfn.TEXTSPLIT(R99, "/")</f>
        <v>food</v>
      </c>
      <c r="T99" s="5" t="str">
        <v>food trucks</v>
      </c>
    </row>
    <row r="100" spans="1:20" ht="19.5" x14ac:dyDescent="0.4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 s="4">
        <f t="shared" si="4"/>
        <v>33.692229038854805</v>
      </c>
      <c r="K100">
        <v>1437973200</v>
      </c>
      <c r="L100" s="5">
        <f t="shared" si="5"/>
        <v>27.009016393442622</v>
      </c>
      <c r="M100">
        <v>1438318800</v>
      </c>
      <c r="N100" s="9">
        <f t="shared" si="6"/>
        <v>42212.208333333328</v>
      </c>
      <c r="O100" s="9">
        <f t="shared" si="7"/>
        <v>42216.208333333328</v>
      </c>
      <c r="P100" t="b">
        <v>0</v>
      </c>
      <c r="Q100" t="b">
        <v>0</v>
      </c>
      <c r="R100" t="s">
        <v>89</v>
      </c>
      <c r="S100" s="5" t="str" cm="1">
        <f t="array" ref="S100:T100">_xlfn.TEXTSPLIT(R100, "/")</f>
        <v>games</v>
      </c>
      <c r="T100" s="5" t="str">
        <v>video games</v>
      </c>
    </row>
    <row r="101" spans="1:20" ht="19.5" x14ac:dyDescent="0.4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 s="4">
        <f t="shared" si="4"/>
        <v>196.7236842105263</v>
      </c>
      <c r="K101">
        <v>1416895200</v>
      </c>
      <c r="L101" s="5">
        <f t="shared" si="5"/>
        <v>91.16463414634147</v>
      </c>
      <c r="M101">
        <v>1419400800</v>
      </c>
      <c r="N101" s="9">
        <f t="shared" si="6"/>
        <v>41968.25</v>
      </c>
      <c r="O101" s="9">
        <f t="shared" si="7"/>
        <v>41997.25</v>
      </c>
      <c r="P101" t="b">
        <v>0</v>
      </c>
      <c r="Q101" t="b">
        <v>0</v>
      </c>
      <c r="R101" t="s">
        <v>33</v>
      </c>
      <c r="S101" s="5" t="str" cm="1">
        <f t="array" ref="S101:T101">_xlfn.TEXTSPLIT(R101, "/")</f>
        <v>theater</v>
      </c>
      <c r="T101" s="5" t="str">
        <v>plays</v>
      </c>
    </row>
    <row r="102" spans="1:20" ht="19.5" x14ac:dyDescent="0.4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 s="4">
        <f t="shared" si="4"/>
        <v>1</v>
      </c>
      <c r="K102">
        <v>1319000400</v>
      </c>
      <c r="L102" s="5">
        <f t="shared" si="5"/>
        <v>1</v>
      </c>
      <c r="M102">
        <v>1320555600</v>
      </c>
      <c r="N102" s="9">
        <f t="shared" si="6"/>
        <v>40835.208333333336</v>
      </c>
      <c r="O102" s="9">
        <f t="shared" si="7"/>
        <v>40853.208333333336</v>
      </c>
      <c r="P102" t="b">
        <v>0</v>
      </c>
      <c r="Q102" t="b">
        <v>0</v>
      </c>
      <c r="R102" t="s">
        <v>33</v>
      </c>
      <c r="S102" s="5" t="str" cm="1">
        <f t="array" ref="S102:T102">_xlfn.TEXTSPLIT(R102, "/")</f>
        <v>theater</v>
      </c>
      <c r="T102" s="5" t="str">
        <v>plays</v>
      </c>
    </row>
    <row r="103" spans="1:20" ht="19.5" x14ac:dyDescent="0.4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 s="4">
        <f t="shared" si="4"/>
        <v>1021.4444444444445</v>
      </c>
      <c r="K103">
        <v>1424498400</v>
      </c>
      <c r="L103" s="5">
        <f t="shared" si="5"/>
        <v>56.054878048780488</v>
      </c>
      <c r="M103">
        <v>1425103200</v>
      </c>
      <c r="N103" s="9">
        <f t="shared" si="6"/>
        <v>42056.25</v>
      </c>
      <c r="O103" s="9">
        <f t="shared" si="7"/>
        <v>42063.25</v>
      </c>
      <c r="P103" t="b">
        <v>0</v>
      </c>
      <c r="Q103" t="b">
        <v>1</v>
      </c>
      <c r="R103" t="s">
        <v>50</v>
      </c>
      <c r="S103" s="5" t="str" cm="1">
        <f t="array" ref="S103:T103">_xlfn.TEXTSPLIT(R103, "/")</f>
        <v>music</v>
      </c>
      <c r="T103" s="5" t="str">
        <v>electric music</v>
      </c>
    </row>
    <row r="104" spans="1:20" ht="19.5" x14ac:dyDescent="0.4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 s="4">
        <f t="shared" si="4"/>
        <v>281.67567567567568</v>
      </c>
      <c r="K104">
        <v>1526274000</v>
      </c>
      <c r="L104" s="5">
        <f t="shared" si="5"/>
        <v>31.017857142857142</v>
      </c>
      <c r="M104">
        <v>1526878800</v>
      </c>
      <c r="N104" s="9">
        <f t="shared" si="6"/>
        <v>43234.208333333328</v>
      </c>
      <c r="O104" s="9">
        <f t="shared" si="7"/>
        <v>43241.208333333328</v>
      </c>
      <c r="P104" t="b">
        <v>0</v>
      </c>
      <c r="Q104" t="b">
        <v>1</v>
      </c>
      <c r="R104" t="s">
        <v>65</v>
      </c>
      <c r="S104" s="5" t="str" cm="1">
        <f t="array" ref="S104:T104">_xlfn.TEXTSPLIT(R104, "/")</f>
        <v>technology</v>
      </c>
      <c r="T104" s="5" t="str">
        <v>wearables</v>
      </c>
    </row>
    <row r="105" spans="1:20" ht="19.5" x14ac:dyDescent="0.4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 s="4">
        <f t="shared" si="4"/>
        <v>24.610000000000003</v>
      </c>
      <c r="K105">
        <v>1287896400</v>
      </c>
      <c r="L105" s="5">
        <f t="shared" si="5"/>
        <v>66.513513513513516</v>
      </c>
      <c r="M105">
        <v>1288674000</v>
      </c>
      <c r="N105" s="9">
        <f t="shared" si="6"/>
        <v>40475.208333333336</v>
      </c>
      <c r="O105" s="9">
        <f t="shared" si="7"/>
        <v>40484.208333333336</v>
      </c>
      <c r="P105" t="b">
        <v>0</v>
      </c>
      <c r="Q105" t="b">
        <v>0</v>
      </c>
      <c r="R105" t="s">
        <v>50</v>
      </c>
      <c r="S105" s="5" t="str" cm="1">
        <f t="array" ref="S105:T105">_xlfn.TEXTSPLIT(R105, "/")</f>
        <v>music</v>
      </c>
      <c r="T105" s="5" t="str">
        <v>electric music</v>
      </c>
    </row>
    <row r="106" spans="1:20" ht="19.5" x14ac:dyDescent="0.4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 s="4">
        <f t="shared" si="4"/>
        <v>143.14010067114094</v>
      </c>
      <c r="K106">
        <v>1495515600</v>
      </c>
      <c r="L106" s="5">
        <f t="shared" si="5"/>
        <v>89.005216484089729</v>
      </c>
      <c r="M106">
        <v>1495602000</v>
      </c>
      <c r="N106" s="9">
        <f t="shared" si="6"/>
        <v>42878.208333333328</v>
      </c>
      <c r="O106" s="9">
        <f t="shared" si="7"/>
        <v>42879.208333333328</v>
      </c>
      <c r="P106" t="b">
        <v>0</v>
      </c>
      <c r="Q106" t="b">
        <v>0</v>
      </c>
      <c r="R106" t="s">
        <v>60</v>
      </c>
      <c r="S106" s="5" t="str" cm="1">
        <f t="array" ref="S106:T106">_xlfn.TEXTSPLIT(R106, "/")</f>
        <v>music</v>
      </c>
      <c r="T106" s="5" t="str">
        <v>indie rock</v>
      </c>
    </row>
    <row r="107" spans="1:20" ht="19.5" x14ac:dyDescent="0.4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 s="4">
        <f t="shared" si="4"/>
        <v>144.54411764705884</v>
      </c>
      <c r="K107">
        <v>1364878800</v>
      </c>
      <c r="L107" s="5">
        <f t="shared" si="5"/>
        <v>103.46315789473684</v>
      </c>
      <c r="M107">
        <v>1366434000</v>
      </c>
      <c r="N107" s="9">
        <f t="shared" si="6"/>
        <v>41366.208333333336</v>
      </c>
      <c r="O107" s="9">
        <f t="shared" si="7"/>
        <v>41384.208333333336</v>
      </c>
      <c r="P107" t="b">
        <v>0</v>
      </c>
      <c r="Q107" t="b">
        <v>0</v>
      </c>
      <c r="R107" t="s">
        <v>28</v>
      </c>
      <c r="S107" s="5" t="str" cm="1">
        <f t="array" ref="S107:T107">_xlfn.TEXTSPLIT(R107, "/")</f>
        <v>technology</v>
      </c>
      <c r="T107" s="5" t="str">
        <v>web</v>
      </c>
    </row>
    <row r="108" spans="1:20" ht="19.5" x14ac:dyDescent="0.4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 s="4">
        <f t="shared" si="4"/>
        <v>359.12820512820514</v>
      </c>
      <c r="K108">
        <v>1567918800</v>
      </c>
      <c r="L108" s="5">
        <f t="shared" si="5"/>
        <v>95.278911564625844</v>
      </c>
      <c r="M108">
        <v>1568350800</v>
      </c>
      <c r="N108" s="9">
        <f t="shared" si="6"/>
        <v>43716.208333333328</v>
      </c>
      <c r="O108" s="9">
        <f t="shared" si="7"/>
        <v>43721.208333333328</v>
      </c>
      <c r="P108" t="b">
        <v>0</v>
      </c>
      <c r="Q108" t="b">
        <v>0</v>
      </c>
      <c r="R108" t="s">
        <v>33</v>
      </c>
      <c r="S108" s="5" t="str" cm="1">
        <f t="array" ref="S108:T108">_xlfn.TEXTSPLIT(R108, "/")</f>
        <v>theater</v>
      </c>
      <c r="T108" s="5" t="str">
        <v>plays</v>
      </c>
    </row>
    <row r="109" spans="1:20" ht="33.75" x14ac:dyDescent="0.4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 s="4">
        <f t="shared" si="4"/>
        <v>186.48571428571427</v>
      </c>
      <c r="K109">
        <v>1524459600</v>
      </c>
      <c r="L109" s="5">
        <f t="shared" si="5"/>
        <v>75.895348837209298</v>
      </c>
      <c r="M109">
        <v>1525928400</v>
      </c>
      <c r="N109" s="9">
        <f t="shared" si="6"/>
        <v>43213.208333333328</v>
      </c>
      <c r="O109" s="9">
        <f t="shared" si="7"/>
        <v>43230.208333333328</v>
      </c>
      <c r="P109" t="b">
        <v>0</v>
      </c>
      <c r="Q109" t="b">
        <v>1</v>
      </c>
      <c r="R109" t="s">
        <v>33</v>
      </c>
      <c r="S109" s="5" t="str" cm="1">
        <f t="array" ref="S109:T109">_xlfn.TEXTSPLIT(R109, "/")</f>
        <v>theater</v>
      </c>
      <c r="T109" s="5" t="str">
        <v>plays</v>
      </c>
    </row>
    <row r="110" spans="1:20" ht="33.75" x14ac:dyDescent="0.4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 s="4">
        <f t="shared" si="4"/>
        <v>595.26666666666665</v>
      </c>
      <c r="K110">
        <v>1333688400</v>
      </c>
      <c r="L110" s="5">
        <f t="shared" si="5"/>
        <v>107.57831325301204</v>
      </c>
      <c r="M110">
        <v>1336885200</v>
      </c>
      <c r="N110" s="9">
        <f t="shared" si="6"/>
        <v>41005.208333333336</v>
      </c>
      <c r="O110" s="9">
        <f t="shared" si="7"/>
        <v>41042.208333333336</v>
      </c>
      <c r="P110" t="b">
        <v>0</v>
      </c>
      <c r="Q110" t="b">
        <v>0</v>
      </c>
      <c r="R110" t="s">
        <v>42</v>
      </c>
      <c r="S110" s="5" t="str" cm="1">
        <f t="array" ref="S110:T110">_xlfn.TEXTSPLIT(R110, "/")</f>
        <v>film &amp; video</v>
      </c>
      <c r="T110" s="5" t="str">
        <v>documentary</v>
      </c>
    </row>
    <row r="111" spans="1:20" ht="19.5" x14ac:dyDescent="0.4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 s="4">
        <f t="shared" si="4"/>
        <v>59.21153846153846</v>
      </c>
      <c r="K111">
        <v>1389506400</v>
      </c>
      <c r="L111" s="5">
        <f t="shared" si="5"/>
        <v>51.31666666666667</v>
      </c>
      <c r="M111">
        <v>1389679200</v>
      </c>
      <c r="N111" s="9">
        <f t="shared" si="6"/>
        <v>41651.25</v>
      </c>
      <c r="O111" s="9">
        <f t="shared" si="7"/>
        <v>41653.25</v>
      </c>
      <c r="P111" t="b">
        <v>0</v>
      </c>
      <c r="Q111" t="b">
        <v>0</v>
      </c>
      <c r="R111" t="s">
        <v>269</v>
      </c>
      <c r="S111" s="5" t="str" cm="1">
        <f t="array" ref="S111:T111">_xlfn.TEXTSPLIT(R111, "/")</f>
        <v>film &amp; video</v>
      </c>
      <c r="T111" s="5" t="str">
        <v>television</v>
      </c>
    </row>
    <row r="112" spans="1:20" ht="33.75" x14ac:dyDescent="0.4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 s="4">
        <f t="shared" si="4"/>
        <v>14.962780898876405</v>
      </c>
      <c r="K112">
        <v>1536642000</v>
      </c>
      <c r="L112" s="5">
        <f t="shared" si="5"/>
        <v>71.983108108108112</v>
      </c>
      <c r="M112">
        <v>1538283600</v>
      </c>
      <c r="N112" s="9">
        <f t="shared" si="6"/>
        <v>43354.208333333328</v>
      </c>
      <c r="O112" s="9">
        <f t="shared" si="7"/>
        <v>43373.208333333328</v>
      </c>
      <c r="P112" t="b">
        <v>0</v>
      </c>
      <c r="Q112" t="b">
        <v>0</v>
      </c>
      <c r="R112" t="s">
        <v>17</v>
      </c>
      <c r="S112" s="5" t="str" cm="1">
        <f t="array" ref="S112:T112">_xlfn.TEXTSPLIT(R112, "/")</f>
        <v>food</v>
      </c>
      <c r="T112" s="5" t="str">
        <v>food trucks</v>
      </c>
    </row>
    <row r="113" spans="1:20" ht="19.5" x14ac:dyDescent="0.4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 s="4">
        <f t="shared" si="4"/>
        <v>119.95602605863192</v>
      </c>
      <c r="K113">
        <v>1348290000</v>
      </c>
      <c r="L113" s="5">
        <f t="shared" si="5"/>
        <v>108.95414201183432</v>
      </c>
      <c r="M113">
        <v>1348808400</v>
      </c>
      <c r="N113" s="9">
        <f t="shared" si="6"/>
        <v>41174.208333333336</v>
      </c>
      <c r="O113" s="9">
        <f t="shared" si="7"/>
        <v>41180.208333333336</v>
      </c>
      <c r="P113" t="b">
        <v>0</v>
      </c>
      <c r="Q113" t="b">
        <v>0</v>
      </c>
      <c r="R113" t="s">
        <v>133</v>
      </c>
      <c r="S113" s="5" t="str" cm="1">
        <f t="array" ref="S113:T113">_xlfn.TEXTSPLIT(R113, "/")</f>
        <v>publishing</v>
      </c>
      <c r="T113" s="5" t="str">
        <v>radio &amp; podcasts</v>
      </c>
    </row>
    <row r="114" spans="1:20" ht="19.5" x14ac:dyDescent="0.4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 s="4">
        <f t="shared" si="4"/>
        <v>268.82978723404256</v>
      </c>
      <c r="K114">
        <v>1408856400</v>
      </c>
      <c r="L114" s="5">
        <f t="shared" si="5"/>
        <v>35</v>
      </c>
      <c r="M114">
        <v>1410152400</v>
      </c>
      <c r="N114" s="9">
        <f t="shared" si="6"/>
        <v>41875.208333333336</v>
      </c>
      <c r="O114" s="9">
        <f t="shared" si="7"/>
        <v>41890.208333333336</v>
      </c>
      <c r="P114" t="b">
        <v>0</v>
      </c>
      <c r="Q114" t="b">
        <v>0</v>
      </c>
      <c r="R114" t="s">
        <v>28</v>
      </c>
      <c r="S114" s="5" t="str" cm="1">
        <f t="array" ref="S114:T114">_xlfn.TEXTSPLIT(R114, "/")</f>
        <v>technology</v>
      </c>
      <c r="T114" s="5" t="str">
        <v>web</v>
      </c>
    </row>
    <row r="115" spans="1:20" ht="19.5" x14ac:dyDescent="0.4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 s="4">
        <f t="shared" si="4"/>
        <v>376.87878787878788</v>
      </c>
      <c r="K115">
        <v>1505192400</v>
      </c>
      <c r="L115" s="5">
        <f t="shared" si="5"/>
        <v>94.938931297709928</v>
      </c>
      <c r="M115">
        <v>1505797200</v>
      </c>
      <c r="N115" s="9">
        <f t="shared" si="6"/>
        <v>42990.208333333328</v>
      </c>
      <c r="O115" s="9">
        <f t="shared" si="7"/>
        <v>42997.208333333328</v>
      </c>
      <c r="P115" t="b">
        <v>0</v>
      </c>
      <c r="Q115" t="b">
        <v>0</v>
      </c>
      <c r="R115" t="s">
        <v>17</v>
      </c>
      <c r="S115" s="5" t="str" cm="1">
        <f t="array" ref="S115:T115">_xlfn.TEXTSPLIT(R115, "/")</f>
        <v>food</v>
      </c>
      <c r="T115" s="5" t="str">
        <v>food trucks</v>
      </c>
    </row>
    <row r="116" spans="1:20" ht="19.5" x14ac:dyDescent="0.4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 s="4">
        <f t="shared" si="4"/>
        <v>727.15789473684208</v>
      </c>
      <c r="K116">
        <v>1554786000</v>
      </c>
      <c r="L116" s="5">
        <f t="shared" si="5"/>
        <v>109.65079365079364</v>
      </c>
      <c r="M116">
        <v>1554872400</v>
      </c>
      <c r="N116" s="9">
        <f t="shared" si="6"/>
        <v>43564.208333333328</v>
      </c>
      <c r="O116" s="9">
        <f t="shared" si="7"/>
        <v>43565.208333333328</v>
      </c>
      <c r="P116" t="b">
        <v>0</v>
      </c>
      <c r="Q116" t="b">
        <v>1</v>
      </c>
      <c r="R116" t="s">
        <v>65</v>
      </c>
      <c r="S116" s="5" t="str" cm="1">
        <f t="array" ref="S116:T116">_xlfn.TEXTSPLIT(R116, "/")</f>
        <v>technology</v>
      </c>
      <c r="T116" s="5" t="str">
        <v>wearables</v>
      </c>
    </row>
    <row r="117" spans="1:20" ht="19.5" x14ac:dyDescent="0.4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 s="4">
        <f t="shared" si="4"/>
        <v>87.211757648470297</v>
      </c>
      <c r="K117">
        <v>1510898400</v>
      </c>
      <c r="L117" s="5">
        <f t="shared" si="5"/>
        <v>44.001815980629537</v>
      </c>
      <c r="M117">
        <v>1513922400</v>
      </c>
      <c r="N117" s="9">
        <f t="shared" si="6"/>
        <v>43056.25</v>
      </c>
      <c r="O117" s="9">
        <f t="shared" si="7"/>
        <v>43091.25</v>
      </c>
      <c r="P117" t="b">
        <v>0</v>
      </c>
      <c r="Q117" t="b">
        <v>0</v>
      </c>
      <c r="R117" t="s">
        <v>119</v>
      </c>
      <c r="S117" s="5" t="str" cm="1">
        <f t="array" ref="S117:T117">_xlfn.TEXTSPLIT(R117, "/")</f>
        <v>publishing</v>
      </c>
      <c r="T117" s="5" t="str">
        <v>fiction</v>
      </c>
    </row>
    <row r="118" spans="1:20" ht="33.75" x14ac:dyDescent="0.4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 s="4">
        <f t="shared" si="4"/>
        <v>88</v>
      </c>
      <c r="K118">
        <v>1442552400</v>
      </c>
      <c r="L118" s="5">
        <f t="shared" si="5"/>
        <v>86.794520547945211</v>
      </c>
      <c r="M118">
        <v>1442638800</v>
      </c>
      <c r="N118" s="9">
        <f t="shared" si="6"/>
        <v>42265.208333333328</v>
      </c>
      <c r="O118" s="9">
        <f t="shared" si="7"/>
        <v>42266.208333333328</v>
      </c>
      <c r="P118" t="b">
        <v>0</v>
      </c>
      <c r="Q118" t="b">
        <v>0</v>
      </c>
      <c r="R118" t="s">
        <v>33</v>
      </c>
      <c r="S118" s="5" t="str" cm="1">
        <f t="array" ref="S118:T118">_xlfn.TEXTSPLIT(R118, "/")</f>
        <v>theater</v>
      </c>
      <c r="T118" s="5" t="str">
        <v>plays</v>
      </c>
    </row>
    <row r="119" spans="1:20" ht="19.5" x14ac:dyDescent="0.4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 s="4">
        <f t="shared" si="4"/>
        <v>173.9387755102041</v>
      </c>
      <c r="K119">
        <v>1316667600</v>
      </c>
      <c r="L119" s="5">
        <f t="shared" si="5"/>
        <v>30.992727272727272</v>
      </c>
      <c r="M119">
        <v>1317186000</v>
      </c>
      <c r="N119" s="9">
        <f t="shared" si="6"/>
        <v>40808.208333333336</v>
      </c>
      <c r="O119" s="9">
        <f t="shared" si="7"/>
        <v>40814.208333333336</v>
      </c>
      <c r="P119" t="b">
        <v>0</v>
      </c>
      <c r="Q119" t="b">
        <v>0</v>
      </c>
      <c r="R119" t="s">
        <v>269</v>
      </c>
      <c r="S119" s="5" t="str" cm="1">
        <f t="array" ref="S119:T119">_xlfn.TEXTSPLIT(R119, "/")</f>
        <v>film &amp; video</v>
      </c>
      <c r="T119" s="5" t="str">
        <v>television</v>
      </c>
    </row>
    <row r="120" spans="1:20" ht="19.5" x14ac:dyDescent="0.4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 s="4">
        <f t="shared" si="4"/>
        <v>117.61111111111111</v>
      </c>
      <c r="K120">
        <v>1390716000</v>
      </c>
      <c r="L120" s="5">
        <f t="shared" si="5"/>
        <v>94.791044776119406</v>
      </c>
      <c r="M120">
        <v>1391234400</v>
      </c>
      <c r="N120" s="9">
        <f t="shared" si="6"/>
        <v>41665.25</v>
      </c>
      <c r="O120" s="9">
        <f t="shared" si="7"/>
        <v>41671.25</v>
      </c>
      <c r="P120" t="b">
        <v>0</v>
      </c>
      <c r="Q120" t="b">
        <v>0</v>
      </c>
      <c r="R120" t="s">
        <v>122</v>
      </c>
      <c r="S120" s="5" t="str" cm="1">
        <f t="array" ref="S120:T120">_xlfn.TEXTSPLIT(R120, "/")</f>
        <v>photography</v>
      </c>
      <c r="T120" s="5" t="str">
        <v>photography books</v>
      </c>
    </row>
    <row r="121" spans="1:20" ht="33.75" x14ac:dyDescent="0.4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 s="4">
        <f t="shared" si="4"/>
        <v>214.96</v>
      </c>
      <c r="K121">
        <v>1402894800</v>
      </c>
      <c r="L121" s="5">
        <f t="shared" si="5"/>
        <v>69.79220779220779</v>
      </c>
      <c r="M121">
        <v>1404363600</v>
      </c>
      <c r="N121" s="9">
        <f t="shared" si="6"/>
        <v>41806.208333333336</v>
      </c>
      <c r="O121" s="9">
        <f t="shared" si="7"/>
        <v>41823.208333333336</v>
      </c>
      <c r="P121" t="b">
        <v>0</v>
      </c>
      <c r="Q121" t="b">
        <v>1</v>
      </c>
      <c r="R121" t="s">
        <v>42</v>
      </c>
      <c r="S121" s="5" t="str" cm="1">
        <f t="array" ref="S121:T121">_xlfn.TEXTSPLIT(R121, "/")</f>
        <v>film &amp; video</v>
      </c>
      <c r="T121" s="5" t="str">
        <v>documentary</v>
      </c>
    </row>
    <row r="122" spans="1:20" ht="19.5" x14ac:dyDescent="0.4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 s="4">
        <f t="shared" si="4"/>
        <v>149.49667110519306</v>
      </c>
      <c r="K122">
        <v>1429246800</v>
      </c>
      <c r="L122" s="5">
        <f t="shared" si="5"/>
        <v>63.003367003367003</v>
      </c>
      <c r="M122">
        <v>1429592400</v>
      </c>
      <c r="N122" s="9">
        <f t="shared" si="6"/>
        <v>42111.208333333328</v>
      </c>
      <c r="O122" s="9">
        <f t="shared" si="7"/>
        <v>42115.208333333328</v>
      </c>
      <c r="P122" t="b">
        <v>0</v>
      </c>
      <c r="Q122" t="b">
        <v>1</v>
      </c>
      <c r="R122" t="s">
        <v>292</v>
      </c>
      <c r="S122" s="5" t="str" cm="1">
        <f t="array" ref="S122:T122">_xlfn.TEXTSPLIT(R122, "/")</f>
        <v>games</v>
      </c>
      <c r="T122" s="5" t="str">
        <v>mobile games</v>
      </c>
    </row>
    <row r="123" spans="1:20" ht="19.5" x14ac:dyDescent="0.4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 s="4">
        <f t="shared" si="4"/>
        <v>219.33995584988963</v>
      </c>
      <c r="K123">
        <v>1412485200</v>
      </c>
      <c r="L123" s="5">
        <f t="shared" si="5"/>
        <v>110.0343300110742</v>
      </c>
      <c r="M123">
        <v>1413608400</v>
      </c>
      <c r="N123" s="9">
        <f t="shared" si="6"/>
        <v>41917.208333333336</v>
      </c>
      <c r="O123" s="9">
        <f t="shared" si="7"/>
        <v>41930.208333333336</v>
      </c>
      <c r="P123" t="b">
        <v>0</v>
      </c>
      <c r="Q123" t="b">
        <v>0</v>
      </c>
      <c r="R123" t="s">
        <v>89</v>
      </c>
      <c r="S123" s="5" t="str" cm="1">
        <f t="array" ref="S123:T123">_xlfn.TEXTSPLIT(R123, "/")</f>
        <v>games</v>
      </c>
      <c r="T123" s="5" t="str">
        <v>video games</v>
      </c>
    </row>
    <row r="124" spans="1:20" ht="19.5" x14ac:dyDescent="0.4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 s="4">
        <f t="shared" si="4"/>
        <v>64.367690058479525</v>
      </c>
      <c r="K124">
        <v>1417068000</v>
      </c>
      <c r="L124" s="5">
        <f t="shared" si="5"/>
        <v>25.997933274284026</v>
      </c>
      <c r="M124">
        <v>1419400800</v>
      </c>
      <c r="N124" s="9">
        <f t="shared" si="6"/>
        <v>41970.25</v>
      </c>
      <c r="O124" s="9">
        <f t="shared" si="7"/>
        <v>41997.25</v>
      </c>
      <c r="P124" t="b">
        <v>0</v>
      </c>
      <c r="Q124" t="b">
        <v>0</v>
      </c>
      <c r="R124" t="s">
        <v>119</v>
      </c>
      <c r="S124" s="5" t="str" cm="1">
        <f t="array" ref="S124:T124">_xlfn.TEXTSPLIT(R124, "/")</f>
        <v>publishing</v>
      </c>
      <c r="T124" s="5" t="str">
        <v>fiction</v>
      </c>
    </row>
    <row r="125" spans="1:20" ht="19.5" x14ac:dyDescent="0.4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 s="4">
        <f t="shared" si="4"/>
        <v>18.622397298818232</v>
      </c>
      <c r="K125">
        <v>1448344800</v>
      </c>
      <c r="L125" s="5">
        <f t="shared" si="5"/>
        <v>49.987915407854985</v>
      </c>
      <c r="M125">
        <v>1448604000</v>
      </c>
      <c r="N125" s="9">
        <f t="shared" si="6"/>
        <v>42332.25</v>
      </c>
      <c r="O125" s="9">
        <f t="shared" si="7"/>
        <v>42335.25</v>
      </c>
      <c r="P125" t="b">
        <v>1</v>
      </c>
      <c r="Q125" t="b">
        <v>0</v>
      </c>
      <c r="R125" t="s">
        <v>33</v>
      </c>
      <c r="S125" s="5" t="str" cm="1">
        <f t="array" ref="S125:T125">_xlfn.TEXTSPLIT(R125, "/")</f>
        <v>theater</v>
      </c>
      <c r="T125" s="5" t="str">
        <v>plays</v>
      </c>
    </row>
    <row r="126" spans="1:20" ht="19.5" x14ac:dyDescent="0.4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 s="4">
        <f t="shared" si="4"/>
        <v>367.76923076923077</v>
      </c>
      <c r="K126">
        <v>1557723600</v>
      </c>
      <c r="L126" s="5">
        <f t="shared" si="5"/>
        <v>101.72340425531915</v>
      </c>
      <c r="M126">
        <v>1562302800</v>
      </c>
      <c r="N126" s="9">
        <f t="shared" si="6"/>
        <v>43598.208333333328</v>
      </c>
      <c r="O126" s="9">
        <f t="shared" si="7"/>
        <v>43651.208333333328</v>
      </c>
      <c r="P126" t="b">
        <v>0</v>
      </c>
      <c r="Q126" t="b">
        <v>0</v>
      </c>
      <c r="R126" t="s">
        <v>122</v>
      </c>
      <c r="S126" s="5" t="str" cm="1">
        <f t="array" ref="S126:T126">_xlfn.TEXTSPLIT(R126, "/")</f>
        <v>photography</v>
      </c>
      <c r="T126" s="5" t="str">
        <v>photography books</v>
      </c>
    </row>
    <row r="127" spans="1:20" ht="19.5" x14ac:dyDescent="0.4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 s="4">
        <f t="shared" si="4"/>
        <v>159.90566037735849</v>
      </c>
      <c r="K127">
        <v>1537333200</v>
      </c>
      <c r="L127" s="5">
        <f t="shared" si="5"/>
        <v>47.083333333333336</v>
      </c>
      <c r="M127">
        <v>1537678800</v>
      </c>
      <c r="N127" s="9">
        <f t="shared" si="6"/>
        <v>43362.208333333328</v>
      </c>
      <c r="O127" s="9">
        <f t="shared" si="7"/>
        <v>43366.208333333328</v>
      </c>
      <c r="P127" t="b">
        <v>0</v>
      </c>
      <c r="Q127" t="b">
        <v>0</v>
      </c>
      <c r="R127" t="s">
        <v>33</v>
      </c>
      <c r="S127" s="5" t="str" cm="1">
        <f t="array" ref="S127:T127">_xlfn.TEXTSPLIT(R127, "/")</f>
        <v>theater</v>
      </c>
      <c r="T127" s="5" t="str">
        <v>plays</v>
      </c>
    </row>
    <row r="128" spans="1:20" ht="19.5" x14ac:dyDescent="0.4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 s="4">
        <f t="shared" si="4"/>
        <v>38.633185349611544</v>
      </c>
      <c r="K128">
        <v>1471150800</v>
      </c>
      <c r="L128" s="5">
        <f t="shared" si="5"/>
        <v>89.944444444444443</v>
      </c>
      <c r="M128">
        <v>1473570000</v>
      </c>
      <c r="N128" s="9">
        <f t="shared" si="6"/>
        <v>42596.208333333328</v>
      </c>
      <c r="O128" s="9">
        <f t="shared" si="7"/>
        <v>42624.208333333328</v>
      </c>
      <c r="P128" t="b">
        <v>0</v>
      </c>
      <c r="Q128" t="b">
        <v>1</v>
      </c>
      <c r="R128" t="s">
        <v>33</v>
      </c>
      <c r="S128" s="5" t="str" cm="1">
        <f t="array" ref="S128:T128">_xlfn.TEXTSPLIT(R128, "/")</f>
        <v>theater</v>
      </c>
      <c r="T128" s="5" t="str">
        <v>plays</v>
      </c>
    </row>
    <row r="129" spans="1:20" ht="19.5" x14ac:dyDescent="0.4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 s="4">
        <f t="shared" si="4"/>
        <v>51.42151162790698</v>
      </c>
      <c r="K129">
        <v>1273640400</v>
      </c>
      <c r="L129" s="5">
        <f t="shared" si="5"/>
        <v>78.96875</v>
      </c>
      <c r="M129">
        <v>1273899600</v>
      </c>
      <c r="N129" s="9">
        <f t="shared" si="6"/>
        <v>40310.208333333336</v>
      </c>
      <c r="O129" s="9">
        <f t="shared" si="7"/>
        <v>40313.208333333336</v>
      </c>
      <c r="P129" t="b">
        <v>0</v>
      </c>
      <c r="Q129" t="b">
        <v>0</v>
      </c>
      <c r="R129" t="s">
        <v>33</v>
      </c>
      <c r="S129" s="5" t="str" cm="1">
        <f t="array" ref="S129:T129">_xlfn.TEXTSPLIT(R129, "/")</f>
        <v>theater</v>
      </c>
      <c r="T129" s="5" t="str">
        <v>plays</v>
      </c>
    </row>
    <row r="130" spans="1:20" ht="19.5" x14ac:dyDescent="0.4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 s="4">
        <f t="shared" si="4"/>
        <v>60.334277620396605</v>
      </c>
      <c r="K130">
        <v>1282885200</v>
      </c>
      <c r="L130" s="5">
        <f t="shared" si="5"/>
        <v>80.067669172932327</v>
      </c>
      <c r="M130">
        <v>1284008400</v>
      </c>
      <c r="N130" s="9">
        <f t="shared" si="6"/>
        <v>40417.208333333336</v>
      </c>
      <c r="O130" s="9">
        <f t="shared" si="7"/>
        <v>40430.208333333336</v>
      </c>
      <c r="P130" t="b">
        <v>0</v>
      </c>
      <c r="Q130" t="b">
        <v>0</v>
      </c>
      <c r="R130" t="s">
        <v>23</v>
      </c>
      <c r="S130" s="5" t="str" cm="1">
        <f t="array" ref="S130:T130">_xlfn.TEXTSPLIT(R130, "/")</f>
        <v>music</v>
      </c>
      <c r="T130" s="5" t="str">
        <v>rock</v>
      </c>
    </row>
    <row r="131" spans="1:20" ht="19.5" x14ac:dyDescent="0.4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 s="4">
        <f t="shared" ref="J131:J194" si="8">(E131/D131*100)</f>
        <v>3.202693602693603</v>
      </c>
      <c r="K131">
        <v>1422943200</v>
      </c>
      <c r="L131" s="5">
        <f t="shared" ref="L131:L194" si="9">E131/G131</f>
        <v>86.472727272727269</v>
      </c>
      <c r="M131">
        <v>1425103200</v>
      </c>
      <c r="N131" s="9">
        <f t="shared" ref="N131:N194" si="10">(((K131/60)/60)/24)+DATE(1970,1,1)</f>
        <v>42038.25</v>
      </c>
      <c r="O131" s="9">
        <f t="shared" ref="O131:O194" si="11">(((M131/60)/60)/24)+DATE(1970,1,1)</f>
        <v>42063.25</v>
      </c>
      <c r="P131" t="b">
        <v>0</v>
      </c>
      <c r="Q131" t="b">
        <v>0</v>
      </c>
      <c r="R131" t="s">
        <v>17</v>
      </c>
      <c r="S131" s="5" t="str" cm="1">
        <f t="array" ref="S131:T131">_xlfn.TEXTSPLIT(R131, "/")</f>
        <v>food</v>
      </c>
      <c r="T131" s="5" t="str">
        <v>food trucks</v>
      </c>
    </row>
    <row r="132" spans="1:20" ht="19.5" x14ac:dyDescent="0.4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 s="4">
        <f t="shared" si="8"/>
        <v>155.46875</v>
      </c>
      <c r="K132">
        <v>1319605200</v>
      </c>
      <c r="L132" s="5">
        <f t="shared" si="9"/>
        <v>28.001876172607879</v>
      </c>
      <c r="M132">
        <v>1320991200</v>
      </c>
      <c r="N132" s="9">
        <f t="shared" si="10"/>
        <v>40842.208333333336</v>
      </c>
      <c r="O132" s="9">
        <f t="shared" si="11"/>
        <v>40858.25</v>
      </c>
      <c r="P132" t="b">
        <v>0</v>
      </c>
      <c r="Q132" t="b">
        <v>0</v>
      </c>
      <c r="R132" t="s">
        <v>53</v>
      </c>
      <c r="S132" s="5" t="str" cm="1">
        <f t="array" ref="S132:T132">_xlfn.TEXTSPLIT(R132, "/")</f>
        <v>film &amp; video</v>
      </c>
      <c r="T132" s="5" t="str">
        <v>drama</v>
      </c>
    </row>
    <row r="133" spans="1:20" ht="33.75" x14ac:dyDescent="0.4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 s="4">
        <f t="shared" si="8"/>
        <v>100.85974499089254</v>
      </c>
      <c r="K133">
        <v>1385704800</v>
      </c>
      <c r="L133" s="5">
        <f t="shared" si="9"/>
        <v>67.996725337699544</v>
      </c>
      <c r="M133">
        <v>1386828000</v>
      </c>
      <c r="N133" s="9">
        <f t="shared" si="10"/>
        <v>41607.25</v>
      </c>
      <c r="O133" s="9">
        <f t="shared" si="11"/>
        <v>41620.25</v>
      </c>
      <c r="P133" t="b">
        <v>0</v>
      </c>
      <c r="Q133" t="b">
        <v>0</v>
      </c>
      <c r="R133" t="s">
        <v>28</v>
      </c>
      <c r="S133" s="5" t="str" cm="1">
        <f t="array" ref="S133:T133">_xlfn.TEXTSPLIT(R133, "/")</f>
        <v>technology</v>
      </c>
      <c r="T133" s="5" t="str">
        <v>web</v>
      </c>
    </row>
    <row r="134" spans="1:20" ht="19.5" x14ac:dyDescent="0.4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 s="4">
        <f t="shared" si="8"/>
        <v>116.18181818181819</v>
      </c>
      <c r="K134">
        <v>1515736800</v>
      </c>
      <c r="L134" s="5">
        <f t="shared" si="9"/>
        <v>43.078651685393261</v>
      </c>
      <c r="M134">
        <v>1517119200</v>
      </c>
      <c r="N134" s="9">
        <f t="shared" si="10"/>
        <v>43112.25</v>
      </c>
      <c r="O134" s="9">
        <f t="shared" si="11"/>
        <v>43128.25</v>
      </c>
      <c r="P134" t="b">
        <v>0</v>
      </c>
      <c r="Q134" t="b">
        <v>1</v>
      </c>
      <c r="R134" t="s">
        <v>33</v>
      </c>
      <c r="S134" s="5" t="str" cm="1">
        <f t="array" ref="S134:T134">_xlfn.TEXTSPLIT(R134, "/")</f>
        <v>theater</v>
      </c>
      <c r="T134" s="5" t="str">
        <v>plays</v>
      </c>
    </row>
    <row r="135" spans="1:20" ht="19.5" x14ac:dyDescent="0.4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 s="4">
        <f t="shared" si="8"/>
        <v>310.77777777777777</v>
      </c>
      <c r="K135">
        <v>1313125200</v>
      </c>
      <c r="L135" s="5">
        <f t="shared" si="9"/>
        <v>87.95597484276729</v>
      </c>
      <c r="M135">
        <v>1315026000</v>
      </c>
      <c r="N135" s="9">
        <f t="shared" si="10"/>
        <v>40767.208333333336</v>
      </c>
      <c r="O135" s="9">
        <f t="shared" si="11"/>
        <v>40789.208333333336</v>
      </c>
      <c r="P135" t="b">
        <v>0</v>
      </c>
      <c r="Q135" t="b">
        <v>0</v>
      </c>
      <c r="R135" t="s">
        <v>319</v>
      </c>
      <c r="S135" s="5" t="str" cm="1">
        <f t="array" ref="S135:T135">_xlfn.TEXTSPLIT(R135, "/")</f>
        <v>music</v>
      </c>
      <c r="T135" s="5" t="str">
        <v>world music</v>
      </c>
    </row>
    <row r="136" spans="1:20" ht="19.5" x14ac:dyDescent="0.4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 s="4">
        <f t="shared" si="8"/>
        <v>89.73668341708543</v>
      </c>
      <c r="K136">
        <v>1308459600</v>
      </c>
      <c r="L136" s="5">
        <f t="shared" si="9"/>
        <v>94.987234042553197</v>
      </c>
      <c r="M136">
        <v>1312693200</v>
      </c>
      <c r="N136" s="9">
        <f t="shared" si="10"/>
        <v>40713.208333333336</v>
      </c>
      <c r="O136" s="9">
        <f t="shared" si="11"/>
        <v>40762.208333333336</v>
      </c>
      <c r="P136" t="b">
        <v>0</v>
      </c>
      <c r="Q136" t="b">
        <v>1</v>
      </c>
      <c r="R136" t="s">
        <v>42</v>
      </c>
      <c r="S136" s="5" t="str" cm="1">
        <f t="array" ref="S136:T136">_xlfn.TEXTSPLIT(R136, "/")</f>
        <v>film &amp; video</v>
      </c>
      <c r="T136" s="5" t="str">
        <v>documentary</v>
      </c>
    </row>
    <row r="137" spans="1:20" ht="19.5" x14ac:dyDescent="0.4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 s="4">
        <f t="shared" si="8"/>
        <v>71.27272727272728</v>
      </c>
      <c r="K137">
        <v>1362636000</v>
      </c>
      <c r="L137" s="5">
        <f t="shared" si="9"/>
        <v>46.905982905982903</v>
      </c>
      <c r="M137">
        <v>1363064400</v>
      </c>
      <c r="N137" s="9">
        <f t="shared" si="10"/>
        <v>41340.25</v>
      </c>
      <c r="O137" s="9">
        <f t="shared" si="11"/>
        <v>41345.208333333336</v>
      </c>
      <c r="P137" t="b">
        <v>0</v>
      </c>
      <c r="Q137" t="b">
        <v>1</v>
      </c>
      <c r="R137" t="s">
        <v>33</v>
      </c>
      <c r="S137" s="5" t="str" cm="1">
        <f t="array" ref="S137:T137">_xlfn.TEXTSPLIT(R137, "/")</f>
        <v>theater</v>
      </c>
      <c r="T137" s="5" t="str">
        <v>plays</v>
      </c>
    </row>
    <row r="138" spans="1:20" ht="19.5" x14ac:dyDescent="0.4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 s="4">
        <f t="shared" si="8"/>
        <v>3.2862318840579712</v>
      </c>
      <c r="K138">
        <v>1402117200</v>
      </c>
      <c r="L138" s="5">
        <f t="shared" si="9"/>
        <v>46.913793103448278</v>
      </c>
      <c r="M138">
        <v>1403154000</v>
      </c>
      <c r="N138" s="9">
        <f t="shared" si="10"/>
        <v>41797.208333333336</v>
      </c>
      <c r="O138" s="9">
        <f t="shared" si="11"/>
        <v>41809.208333333336</v>
      </c>
      <c r="P138" t="b">
        <v>0</v>
      </c>
      <c r="Q138" t="b">
        <v>1</v>
      </c>
      <c r="R138" t="s">
        <v>53</v>
      </c>
      <c r="S138" s="5" t="str" cm="1">
        <f t="array" ref="S138:T138">_xlfn.TEXTSPLIT(R138, "/")</f>
        <v>film &amp; video</v>
      </c>
      <c r="T138" s="5" t="str">
        <v>drama</v>
      </c>
    </row>
    <row r="139" spans="1:20" ht="19.5" x14ac:dyDescent="0.4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 s="4">
        <f t="shared" si="8"/>
        <v>261.77777777777777</v>
      </c>
      <c r="K139">
        <v>1286341200</v>
      </c>
      <c r="L139" s="5">
        <f t="shared" si="9"/>
        <v>94.24</v>
      </c>
      <c r="M139">
        <v>1286859600</v>
      </c>
      <c r="N139" s="9">
        <f t="shared" si="10"/>
        <v>40457.208333333336</v>
      </c>
      <c r="O139" s="9">
        <f t="shared" si="11"/>
        <v>40463.208333333336</v>
      </c>
      <c r="P139" t="b">
        <v>0</v>
      </c>
      <c r="Q139" t="b">
        <v>0</v>
      </c>
      <c r="R139" t="s">
        <v>68</v>
      </c>
      <c r="S139" s="5" t="str" cm="1">
        <f t="array" ref="S139:T139">_xlfn.TEXTSPLIT(R139, "/")</f>
        <v>publishing</v>
      </c>
      <c r="T139" s="5" t="str">
        <v>nonfiction</v>
      </c>
    </row>
    <row r="140" spans="1:20" ht="33.75" x14ac:dyDescent="0.4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 s="4">
        <f t="shared" si="8"/>
        <v>96</v>
      </c>
      <c r="K140">
        <v>1348808400</v>
      </c>
      <c r="L140" s="5">
        <f t="shared" si="9"/>
        <v>80.139130434782615</v>
      </c>
      <c r="M140">
        <v>1349326800</v>
      </c>
      <c r="N140" s="9">
        <f t="shared" si="10"/>
        <v>41180.208333333336</v>
      </c>
      <c r="O140" s="9">
        <f t="shared" si="11"/>
        <v>41186.208333333336</v>
      </c>
      <c r="P140" t="b">
        <v>0</v>
      </c>
      <c r="Q140" t="b">
        <v>0</v>
      </c>
      <c r="R140" t="s">
        <v>292</v>
      </c>
      <c r="S140" s="5" t="str" cm="1">
        <f t="array" ref="S140:T140">_xlfn.TEXTSPLIT(R140, "/")</f>
        <v>games</v>
      </c>
      <c r="T140" s="5" t="str">
        <v>mobile games</v>
      </c>
    </row>
    <row r="141" spans="1:20" ht="19.5" x14ac:dyDescent="0.4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 s="4">
        <f t="shared" si="8"/>
        <v>20.896851248642779</v>
      </c>
      <c r="K141">
        <v>1429592400</v>
      </c>
      <c r="L141" s="5">
        <f t="shared" si="9"/>
        <v>59.036809815950917</v>
      </c>
      <c r="M141">
        <v>1430974800</v>
      </c>
      <c r="N141" s="9">
        <f t="shared" si="10"/>
        <v>42115.208333333328</v>
      </c>
      <c r="O141" s="9">
        <f t="shared" si="11"/>
        <v>42131.208333333328</v>
      </c>
      <c r="P141" t="b">
        <v>0</v>
      </c>
      <c r="Q141" t="b">
        <v>1</v>
      </c>
      <c r="R141" t="s">
        <v>65</v>
      </c>
      <c r="S141" s="5" t="str" cm="1">
        <f t="array" ref="S141:T141">_xlfn.TEXTSPLIT(R141, "/")</f>
        <v>technology</v>
      </c>
      <c r="T141" s="5" t="str">
        <v>wearables</v>
      </c>
    </row>
    <row r="142" spans="1:20" ht="33.75" x14ac:dyDescent="0.4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 s="4">
        <f t="shared" si="8"/>
        <v>223.16363636363636</v>
      </c>
      <c r="K142">
        <v>1519538400</v>
      </c>
      <c r="L142" s="5">
        <f t="shared" si="9"/>
        <v>65.989247311827953</v>
      </c>
      <c r="M142">
        <v>1519970400</v>
      </c>
      <c r="N142" s="9">
        <f t="shared" si="10"/>
        <v>43156.25</v>
      </c>
      <c r="O142" s="9">
        <f t="shared" si="11"/>
        <v>43161.25</v>
      </c>
      <c r="P142" t="b">
        <v>0</v>
      </c>
      <c r="Q142" t="b">
        <v>0</v>
      </c>
      <c r="R142" t="s">
        <v>42</v>
      </c>
      <c r="S142" s="5" t="str" cm="1">
        <f t="array" ref="S142:T142">_xlfn.TEXTSPLIT(R142, "/")</f>
        <v>film &amp; video</v>
      </c>
      <c r="T142" s="5" t="str">
        <v>documentary</v>
      </c>
    </row>
    <row r="143" spans="1:20" ht="19.5" x14ac:dyDescent="0.4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 s="4">
        <f t="shared" si="8"/>
        <v>101.59097978227061</v>
      </c>
      <c r="K143">
        <v>1434085200</v>
      </c>
      <c r="L143" s="5">
        <f t="shared" si="9"/>
        <v>60.992530345471522</v>
      </c>
      <c r="M143">
        <v>1434603600</v>
      </c>
      <c r="N143" s="9">
        <f t="shared" si="10"/>
        <v>42167.208333333328</v>
      </c>
      <c r="O143" s="9">
        <f t="shared" si="11"/>
        <v>42173.208333333328</v>
      </c>
      <c r="P143" t="b">
        <v>0</v>
      </c>
      <c r="Q143" t="b">
        <v>0</v>
      </c>
      <c r="R143" t="s">
        <v>28</v>
      </c>
      <c r="S143" s="5" t="str" cm="1">
        <f t="array" ref="S143:T143">_xlfn.TEXTSPLIT(R143, "/")</f>
        <v>technology</v>
      </c>
      <c r="T143" s="5" t="str">
        <v>web</v>
      </c>
    </row>
    <row r="144" spans="1:20" ht="19.5" x14ac:dyDescent="0.4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 s="4">
        <f t="shared" si="8"/>
        <v>230.03999999999996</v>
      </c>
      <c r="K144">
        <v>1333688400</v>
      </c>
      <c r="L144" s="5">
        <f t="shared" si="9"/>
        <v>98.307692307692307</v>
      </c>
      <c r="M144">
        <v>1337230800</v>
      </c>
      <c r="N144" s="9">
        <f t="shared" si="10"/>
        <v>41005.208333333336</v>
      </c>
      <c r="O144" s="9">
        <f t="shared" si="11"/>
        <v>41046.208333333336</v>
      </c>
      <c r="P144" t="b">
        <v>0</v>
      </c>
      <c r="Q144" t="b">
        <v>0</v>
      </c>
      <c r="R144" t="s">
        <v>28</v>
      </c>
      <c r="S144" s="5" t="str" cm="1">
        <f t="array" ref="S144:T144">_xlfn.TEXTSPLIT(R144, "/")</f>
        <v>technology</v>
      </c>
      <c r="T144" s="5" t="str">
        <v>web</v>
      </c>
    </row>
    <row r="145" spans="1:20" ht="19.5" x14ac:dyDescent="0.4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 s="4">
        <f t="shared" si="8"/>
        <v>135.59259259259261</v>
      </c>
      <c r="K145">
        <v>1277701200</v>
      </c>
      <c r="L145" s="5">
        <f t="shared" si="9"/>
        <v>104.6</v>
      </c>
      <c r="M145">
        <v>1279429200</v>
      </c>
      <c r="N145" s="9">
        <f t="shared" si="10"/>
        <v>40357.208333333336</v>
      </c>
      <c r="O145" s="9">
        <f t="shared" si="11"/>
        <v>40377.208333333336</v>
      </c>
      <c r="P145" t="b">
        <v>0</v>
      </c>
      <c r="Q145" t="b">
        <v>0</v>
      </c>
      <c r="R145" t="s">
        <v>60</v>
      </c>
      <c r="S145" s="5" t="str" cm="1">
        <f t="array" ref="S145:T145">_xlfn.TEXTSPLIT(R145, "/")</f>
        <v>music</v>
      </c>
      <c r="T145" s="5" t="str">
        <v>indie rock</v>
      </c>
    </row>
    <row r="146" spans="1:20" ht="19.5" x14ac:dyDescent="0.4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 s="4">
        <f t="shared" si="8"/>
        <v>129.1</v>
      </c>
      <c r="K146">
        <v>1560747600</v>
      </c>
      <c r="L146" s="5">
        <f t="shared" si="9"/>
        <v>86.066666666666663</v>
      </c>
      <c r="M146">
        <v>1561438800</v>
      </c>
      <c r="N146" s="9">
        <f t="shared" si="10"/>
        <v>43633.208333333328</v>
      </c>
      <c r="O146" s="9">
        <f t="shared" si="11"/>
        <v>43641.208333333328</v>
      </c>
      <c r="P146" t="b">
        <v>0</v>
      </c>
      <c r="Q146" t="b">
        <v>0</v>
      </c>
      <c r="R146" t="s">
        <v>33</v>
      </c>
      <c r="S146" s="5" t="str" cm="1">
        <f t="array" ref="S146:T146">_xlfn.TEXTSPLIT(R146, "/")</f>
        <v>theater</v>
      </c>
      <c r="T146" s="5" t="str">
        <v>plays</v>
      </c>
    </row>
    <row r="147" spans="1:20" ht="19.5" x14ac:dyDescent="0.4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 s="4">
        <f t="shared" si="8"/>
        <v>236.512</v>
      </c>
      <c r="K147">
        <v>1410066000</v>
      </c>
      <c r="L147" s="5">
        <f t="shared" si="9"/>
        <v>76.989583333333329</v>
      </c>
      <c r="M147">
        <v>1410498000</v>
      </c>
      <c r="N147" s="9">
        <f t="shared" si="10"/>
        <v>41889.208333333336</v>
      </c>
      <c r="O147" s="9">
        <f t="shared" si="11"/>
        <v>41894.208333333336</v>
      </c>
      <c r="P147" t="b">
        <v>0</v>
      </c>
      <c r="Q147" t="b">
        <v>0</v>
      </c>
      <c r="R147" t="s">
        <v>65</v>
      </c>
      <c r="S147" s="5" t="str" cm="1">
        <f t="array" ref="S147:T147">_xlfn.TEXTSPLIT(R147, "/")</f>
        <v>technology</v>
      </c>
      <c r="T147" s="5" t="str">
        <v>wearables</v>
      </c>
    </row>
    <row r="148" spans="1:20" ht="33.75" x14ac:dyDescent="0.4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 s="4">
        <f t="shared" si="8"/>
        <v>17.25</v>
      </c>
      <c r="K148">
        <v>1320732000</v>
      </c>
      <c r="L148" s="5">
        <f t="shared" si="9"/>
        <v>29.764705882352942</v>
      </c>
      <c r="M148">
        <v>1322460000</v>
      </c>
      <c r="N148" s="9">
        <f t="shared" si="10"/>
        <v>40855.25</v>
      </c>
      <c r="O148" s="9">
        <f t="shared" si="11"/>
        <v>40875.25</v>
      </c>
      <c r="P148" t="b">
        <v>0</v>
      </c>
      <c r="Q148" t="b">
        <v>0</v>
      </c>
      <c r="R148" t="s">
        <v>33</v>
      </c>
      <c r="S148" s="5" t="str" cm="1">
        <f t="array" ref="S148:T148">_xlfn.TEXTSPLIT(R148, "/")</f>
        <v>theater</v>
      </c>
      <c r="T148" s="5" t="str">
        <v>plays</v>
      </c>
    </row>
    <row r="149" spans="1:20" ht="19.5" x14ac:dyDescent="0.4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 s="4">
        <f t="shared" si="8"/>
        <v>112.49397590361446</v>
      </c>
      <c r="K149">
        <v>1465794000</v>
      </c>
      <c r="L149" s="5">
        <f t="shared" si="9"/>
        <v>46.91959798994975</v>
      </c>
      <c r="M149">
        <v>1466312400</v>
      </c>
      <c r="N149" s="9">
        <f t="shared" si="10"/>
        <v>42534.208333333328</v>
      </c>
      <c r="O149" s="9">
        <f t="shared" si="11"/>
        <v>42540.208333333328</v>
      </c>
      <c r="P149" t="b">
        <v>0</v>
      </c>
      <c r="Q149" t="b">
        <v>1</v>
      </c>
      <c r="R149" t="s">
        <v>33</v>
      </c>
      <c r="S149" s="5" t="str" cm="1">
        <f t="array" ref="S149:T149">_xlfn.TEXTSPLIT(R149, "/")</f>
        <v>theater</v>
      </c>
      <c r="T149" s="5" t="str">
        <v>plays</v>
      </c>
    </row>
    <row r="150" spans="1:20" ht="19.5" x14ac:dyDescent="0.4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 s="4">
        <f t="shared" si="8"/>
        <v>121.02150537634408</v>
      </c>
      <c r="K150">
        <v>1500958800</v>
      </c>
      <c r="L150" s="5">
        <f t="shared" si="9"/>
        <v>105.18691588785046</v>
      </c>
      <c r="M150">
        <v>1501736400</v>
      </c>
      <c r="N150" s="9">
        <f t="shared" si="10"/>
        <v>42941.208333333328</v>
      </c>
      <c r="O150" s="9">
        <f t="shared" si="11"/>
        <v>42950.208333333328</v>
      </c>
      <c r="P150" t="b">
        <v>0</v>
      </c>
      <c r="Q150" t="b">
        <v>0</v>
      </c>
      <c r="R150" t="s">
        <v>65</v>
      </c>
      <c r="S150" s="5" t="str" cm="1">
        <f t="array" ref="S150:T150">_xlfn.TEXTSPLIT(R150, "/")</f>
        <v>technology</v>
      </c>
      <c r="T150" s="5" t="str">
        <v>wearables</v>
      </c>
    </row>
    <row r="151" spans="1:20" ht="19.5" x14ac:dyDescent="0.4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 s="4">
        <f t="shared" si="8"/>
        <v>219.87096774193549</v>
      </c>
      <c r="K151">
        <v>1357020000</v>
      </c>
      <c r="L151" s="5">
        <f t="shared" si="9"/>
        <v>69.907692307692301</v>
      </c>
      <c r="M151">
        <v>1361512800</v>
      </c>
      <c r="N151" s="9">
        <f t="shared" si="10"/>
        <v>41275.25</v>
      </c>
      <c r="O151" s="9">
        <f t="shared" si="11"/>
        <v>41327.25</v>
      </c>
      <c r="P151" t="b">
        <v>0</v>
      </c>
      <c r="Q151" t="b">
        <v>0</v>
      </c>
      <c r="R151" t="s">
        <v>60</v>
      </c>
      <c r="S151" s="5" t="str" cm="1">
        <f t="array" ref="S151:T151">_xlfn.TEXTSPLIT(R151, "/")</f>
        <v>music</v>
      </c>
      <c r="T151" s="5" t="str">
        <v>indie rock</v>
      </c>
    </row>
    <row r="152" spans="1:20" ht="19.5" x14ac:dyDescent="0.4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 s="4">
        <f t="shared" si="8"/>
        <v>1</v>
      </c>
      <c r="K152">
        <v>1544940000</v>
      </c>
      <c r="L152" s="5">
        <f t="shared" si="9"/>
        <v>1</v>
      </c>
      <c r="M152">
        <v>1545026400</v>
      </c>
      <c r="N152" s="9">
        <f t="shared" si="10"/>
        <v>43450.25</v>
      </c>
      <c r="O152" s="9">
        <f t="shared" si="11"/>
        <v>43451.25</v>
      </c>
      <c r="P152" t="b">
        <v>0</v>
      </c>
      <c r="Q152" t="b">
        <v>0</v>
      </c>
      <c r="R152" t="s">
        <v>23</v>
      </c>
      <c r="S152" s="5" t="str" cm="1">
        <f t="array" ref="S152:T152">_xlfn.TEXTSPLIT(R152, "/")</f>
        <v>music</v>
      </c>
      <c r="T152" s="5" t="str">
        <v>rock</v>
      </c>
    </row>
    <row r="153" spans="1:20" ht="19.5" x14ac:dyDescent="0.4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 s="4">
        <f t="shared" si="8"/>
        <v>64.166909620991248</v>
      </c>
      <c r="K153">
        <v>1402290000</v>
      </c>
      <c r="L153" s="5">
        <f t="shared" si="9"/>
        <v>60.011588275391958</v>
      </c>
      <c r="M153">
        <v>1406696400</v>
      </c>
      <c r="N153" s="9">
        <f t="shared" si="10"/>
        <v>41799.208333333336</v>
      </c>
      <c r="O153" s="9">
        <f t="shared" si="11"/>
        <v>41850.208333333336</v>
      </c>
      <c r="P153" t="b">
        <v>0</v>
      </c>
      <c r="Q153" t="b">
        <v>0</v>
      </c>
      <c r="R153" t="s">
        <v>50</v>
      </c>
      <c r="S153" s="5" t="str" cm="1">
        <f t="array" ref="S153:T153">_xlfn.TEXTSPLIT(R153, "/")</f>
        <v>music</v>
      </c>
      <c r="T153" s="5" t="str">
        <v>electric music</v>
      </c>
    </row>
    <row r="154" spans="1:20" ht="19.5" x14ac:dyDescent="0.4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 s="4">
        <f t="shared" si="8"/>
        <v>423.06746987951806</v>
      </c>
      <c r="K154">
        <v>1487311200</v>
      </c>
      <c r="L154" s="5">
        <f t="shared" si="9"/>
        <v>52.006220379146917</v>
      </c>
      <c r="M154">
        <v>1487916000</v>
      </c>
      <c r="N154" s="9">
        <f t="shared" si="10"/>
        <v>42783.25</v>
      </c>
      <c r="O154" s="9">
        <f t="shared" si="11"/>
        <v>42790.25</v>
      </c>
      <c r="P154" t="b">
        <v>0</v>
      </c>
      <c r="Q154" t="b">
        <v>0</v>
      </c>
      <c r="R154" t="s">
        <v>60</v>
      </c>
      <c r="S154" s="5" t="str" cm="1">
        <f t="array" ref="S154:T154">_xlfn.TEXTSPLIT(R154, "/")</f>
        <v>music</v>
      </c>
      <c r="T154" s="5" t="str">
        <v>indie rock</v>
      </c>
    </row>
    <row r="155" spans="1:20" ht="19.5" x14ac:dyDescent="0.4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 s="4">
        <f t="shared" si="8"/>
        <v>92.984160506863773</v>
      </c>
      <c r="K155">
        <v>1350622800</v>
      </c>
      <c r="L155" s="5">
        <f t="shared" si="9"/>
        <v>31.000176025347649</v>
      </c>
      <c r="M155">
        <v>1351141200</v>
      </c>
      <c r="N155" s="9">
        <f t="shared" si="10"/>
        <v>41201.208333333336</v>
      </c>
      <c r="O155" s="9">
        <f t="shared" si="11"/>
        <v>41207.208333333336</v>
      </c>
      <c r="P155" t="b">
        <v>0</v>
      </c>
      <c r="Q155" t="b">
        <v>0</v>
      </c>
      <c r="R155" t="s">
        <v>33</v>
      </c>
      <c r="S155" s="5" t="str" cm="1">
        <f t="array" ref="S155:T155">_xlfn.TEXTSPLIT(R155, "/")</f>
        <v>theater</v>
      </c>
      <c r="T155" s="5" t="str">
        <v>plays</v>
      </c>
    </row>
    <row r="156" spans="1:20" ht="19.5" x14ac:dyDescent="0.4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 s="4">
        <f t="shared" si="8"/>
        <v>58.756567425569173</v>
      </c>
      <c r="K156">
        <v>1463029200</v>
      </c>
      <c r="L156" s="5">
        <f t="shared" si="9"/>
        <v>95.042492917847028</v>
      </c>
      <c r="M156">
        <v>1465016400</v>
      </c>
      <c r="N156" s="9">
        <f t="shared" si="10"/>
        <v>42502.208333333328</v>
      </c>
      <c r="O156" s="9">
        <f t="shared" si="11"/>
        <v>42525.208333333328</v>
      </c>
      <c r="P156" t="b">
        <v>0</v>
      </c>
      <c r="Q156" t="b">
        <v>1</v>
      </c>
      <c r="R156" t="s">
        <v>60</v>
      </c>
      <c r="S156" s="5" t="str" cm="1">
        <f t="array" ref="S156:T156">_xlfn.TEXTSPLIT(R156, "/")</f>
        <v>music</v>
      </c>
      <c r="T156" s="5" t="str">
        <v>indie rock</v>
      </c>
    </row>
    <row r="157" spans="1:20" ht="19.5" x14ac:dyDescent="0.4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 s="4">
        <f t="shared" si="8"/>
        <v>65.022222222222226</v>
      </c>
      <c r="K157">
        <v>1269493200</v>
      </c>
      <c r="L157" s="5">
        <f t="shared" si="9"/>
        <v>75.968174204355108</v>
      </c>
      <c r="M157">
        <v>1270789200</v>
      </c>
      <c r="N157" s="9">
        <f t="shared" si="10"/>
        <v>40262.208333333336</v>
      </c>
      <c r="O157" s="9">
        <f t="shared" si="11"/>
        <v>40277.208333333336</v>
      </c>
      <c r="P157" t="b">
        <v>0</v>
      </c>
      <c r="Q157" t="b">
        <v>0</v>
      </c>
      <c r="R157" t="s">
        <v>33</v>
      </c>
      <c r="S157" s="5" t="str" cm="1">
        <f t="array" ref="S157:T157">_xlfn.TEXTSPLIT(R157, "/")</f>
        <v>theater</v>
      </c>
      <c r="T157" s="5" t="str">
        <v>plays</v>
      </c>
    </row>
    <row r="158" spans="1:20" ht="19.5" x14ac:dyDescent="0.4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 s="4">
        <f t="shared" si="8"/>
        <v>73.939560439560438</v>
      </c>
      <c r="K158">
        <v>1570251600</v>
      </c>
      <c r="L158" s="5">
        <f t="shared" si="9"/>
        <v>71.013192612137203</v>
      </c>
      <c r="M158">
        <v>1572325200</v>
      </c>
      <c r="N158" s="9">
        <f t="shared" si="10"/>
        <v>43743.208333333328</v>
      </c>
      <c r="O158" s="9">
        <f t="shared" si="11"/>
        <v>43767.208333333328</v>
      </c>
      <c r="P158" t="b">
        <v>0</v>
      </c>
      <c r="Q158" t="b">
        <v>0</v>
      </c>
      <c r="R158" t="s">
        <v>23</v>
      </c>
      <c r="S158" s="5" t="str" cm="1">
        <f t="array" ref="S158:T158">_xlfn.TEXTSPLIT(R158, "/")</f>
        <v>music</v>
      </c>
      <c r="T158" s="5" t="str">
        <v>rock</v>
      </c>
    </row>
    <row r="159" spans="1:20" ht="19.5" x14ac:dyDescent="0.4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 s="4">
        <f t="shared" si="8"/>
        <v>52.666666666666664</v>
      </c>
      <c r="K159">
        <v>1388383200</v>
      </c>
      <c r="L159" s="5">
        <f t="shared" si="9"/>
        <v>73.733333333333334</v>
      </c>
      <c r="M159">
        <v>1389420000</v>
      </c>
      <c r="N159" s="9">
        <f t="shared" si="10"/>
        <v>41638.25</v>
      </c>
      <c r="O159" s="9">
        <f t="shared" si="11"/>
        <v>41650.25</v>
      </c>
      <c r="P159" t="b">
        <v>0</v>
      </c>
      <c r="Q159" t="b">
        <v>0</v>
      </c>
      <c r="R159" t="s">
        <v>122</v>
      </c>
      <c r="S159" s="5" t="str" cm="1">
        <f t="array" ref="S159:T159">_xlfn.TEXTSPLIT(R159, "/")</f>
        <v>photography</v>
      </c>
      <c r="T159" s="5" t="str">
        <v>photography books</v>
      </c>
    </row>
    <row r="160" spans="1:20" ht="19.5" x14ac:dyDescent="0.4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 s="4">
        <f t="shared" si="8"/>
        <v>220.95238095238096</v>
      </c>
      <c r="K160">
        <v>1449554400</v>
      </c>
      <c r="L160" s="5">
        <f t="shared" si="9"/>
        <v>113.17073170731707</v>
      </c>
      <c r="M160">
        <v>1449640800</v>
      </c>
      <c r="N160" s="9">
        <f t="shared" si="10"/>
        <v>42346.25</v>
      </c>
      <c r="O160" s="9">
        <f t="shared" si="11"/>
        <v>42347.25</v>
      </c>
      <c r="P160" t="b">
        <v>0</v>
      </c>
      <c r="Q160" t="b">
        <v>0</v>
      </c>
      <c r="R160" t="s">
        <v>23</v>
      </c>
      <c r="S160" s="5" t="str" cm="1">
        <f t="array" ref="S160:T160">_xlfn.TEXTSPLIT(R160, "/")</f>
        <v>music</v>
      </c>
      <c r="T160" s="5" t="str">
        <v>rock</v>
      </c>
    </row>
    <row r="161" spans="1:20" ht="19.5" x14ac:dyDescent="0.4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 s="4">
        <f t="shared" si="8"/>
        <v>100.01150627615063</v>
      </c>
      <c r="K161">
        <v>1553662800</v>
      </c>
      <c r="L161" s="5">
        <f t="shared" si="9"/>
        <v>105.00933552992861</v>
      </c>
      <c r="M161">
        <v>1555218000</v>
      </c>
      <c r="N161" s="9">
        <f t="shared" si="10"/>
        <v>43551.208333333328</v>
      </c>
      <c r="O161" s="9">
        <f t="shared" si="11"/>
        <v>43569.208333333328</v>
      </c>
      <c r="P161" t="b">
        <v>0</v>
      </c>
      <c r="Q161" t="b">
        <v>1</v>
      </c>
      <c r="R161" t="s">
        <v>33</v>
      </c>
      <c r="S161" s="5" t="str" cm="1">
        <f t="array" ref="S161:T161">_xlfn.TEXTSPLIT(R161, "/")</f>
        <v>theater</v>
      </c>
      <c r="T161" s="5" t="str">
        <v>plays</v>
      </c>
    </row>
    <row r="162" spans="1:20" ht="19.5" x14ac:dyDescent="0.4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 s="4">
        <f t="shared" si="8"/>
        <v>162.3125</v>
      </c>
      <c r="K162">
        <v>1556341200</v>
      </c>
      <c r="L162" s="5">
        <f t="shared" si="9"/>
        <v>79.176829268292678</v>
      </c>
      <c r="M162">
        <v>1557723600</v>
      </c>
      <c r="N162" s="9">
        <f t="shared" si="10"/>
        <v>43582.208333333328</v>
      </c>
      <c r="O162" s="9">
        <f t="shared" si="11"/>
        <v>43598.208333333328</v>
      </c>
      <c r="P162" t="b">
        <v>0</v>
      </c>
      <c r="Q162" t="b">
        <v>0</v>
      </c>
      <c r="R162" t="s">
        <v>65</v>
      </c>
      <c r="S162" s="5" t="str" cm="1">
        <f t="array" ref="S162:T162">_xlfn.TEXTSPLIT(R162, "/")</f>
        <v>technology</v>
      </c>
      <c r="T162" s="5" t="str">
        <v>wearables</v>
      </c>
    </row>
    <row r="163" spans="1:20" ht="33.75" x14ac:dyDescent="0.4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 s="4">
        <f t="shared" si="8"/>
        <v>78.181818181818187</v>
      </c>
      <c r="K163">
        <v>1442984400</v>
      </c>
      <c r="L163" s="5">
        <f t="shared" si="9"/>
        <v>57.333333333333336</v>
      </c>
      <c r="M163">
        <v>1443502800</v>
      </c>
      <c r="N163" s="9">
        <f t="shared" si="10"/>
        <v>42270.208333333328</v>
      </c>
      <c r="O163" s="9">
        <f t="shared" si="11"/>
        <v>42276.208333333328</v>
      </c>
      <c r="P163" t="b">
        <v>0</v>
      </c>
      <c r="Q163" t="b">
        <v>1</v>
      </c>
      <c r="R163" t="s">
        <v>28</v>
      </c>
      <c r="S163" s="5" t="str" cm="1">
        <f t="array" ref="S163:T163">_xlfn.TEXTSPLIT(R163, "/")</f>
        <v>technology</v>
      </c>
      <c r="T163" s="5" t="str">
        <v>web</v>
      </c>
    </row>
    <row r="164" spans="1:20" ht="33.75" x14ac:dyDescent="0.4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 s="4">
        <f t="shared" si="8"/>
        <v>149.73770491803279</v>
      </c>
      <c r="K164">
        <v>1544248800</v>
      </c>
      <c r="L164" s="5">
        <f t="shared" si="9"/>
        <v>58.178343949044589</v>
      </c>
      <c r="M164">
        <v>1546840800</v>
      </c>
      <c r="N164" s="9">
        <f t="shared" si="10"/>
        <v>43442.25</v>
      </c>
      <c r="O164" s="9">
        <f t="shared" si="11"/>
        <v>43472.25</v>
      </c>
      <c r="P164" t="b">
        <v>0</v>
      </c>
      <c r="Q164" t="b">
        <v>0</v>
      </c>
      <c r="R164" t="s">
        <v>23</v>
      </c>
      <c r="S164" s="5" t="str" cm="1">
        <f t="array" ref="S164:T164">_xlfn.TEXTSPLIT(R164, "/")</f>
        <v>music</v>
      </c>
      <c r="T164" s="5" t="str">
        <v>rock</v>
      </c>
    </row>
    <row r="165" spans="1:20" ht="19.5" x14ac:dyDescent="0.4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 s="4">
        <f t="shared" si="8"/>
        <v>253.25714285714284</v>
      </c>
      <c r="K165">
        <v>1508475600</v>
      </c>
      <c r="L165" s="5">
        <f t="shared" si="9"/>
        <v>36.032520325203251</v>
      </c>
      <c r="M165">
        <v>1512712800</v>
      </c>
      <c r="N165" s="9">
        <f t="shared" si="10"/>
        <v>43028.208333333328</v>
      </c>
      <c r="O165" s="9">
        <f t="shared" si="11"/>
        <v>43077.25</v>
      </c>
      <c r="P165" t="b">
        <v>0</v>
      </c>
      <c r="Q165" t="b">
        <v>1</v>
      </c>
      <c r="R165" t="s">
        <v>122</v>
      </c>
      <c r="S165" s="5" t="str" cm="1">
        <f t="array" ref="S165:T165">_xlfn.TEXTSPLIT(R165, "/")</f>
        <v>photography</v>
      </c>
      <c r="T165" s="5" t="str">
        <v>photography books</v>
      </c>
    </row>
    <row r="166" spans="1:20" ht="19.5" x14ac:dyDescent="0.4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 s="4">
        <f t="shared" si="8"/>
        <v>100.16943521594683</v>
      </c>
      <c r="K166">
        <v>1507438800</v>
      </c>
      <c r="L166" s="5">
        <f t="shared" si="9"/>
        <v>107.99068767908309</v>
      </c>
      <c r="M166">
        <v>1507525200</v>
      </c>
      <c r="N166" s="9">
        <f t="shared" si="10"/>
        <v>43016.208333333328</v>
      </c>
      <c r="O166" s="9">
        <f t="shared" si="11"/>
        <v>43017.208333333328</v>
      </c>
      <c r="P166" t="b">
        <v>0</v>
      </c>
      <c r="Q166" t="b">
        <v>0</v>
      </c>
      <c r="R166" t="s">
        <v>33</v>
      </c>
      <c r="S166" s="5" t="str" cm="1">
        <f t="array" ref="S166:T166">_xlfn.TEXTSPLIT(R166, "/")</f>
        <v>theater</v>
      </c>
      <c r="T166" s="5" t="str">
        <v>plays</v>
      </c>
    </row>
    <row r="167" spans="1:20" ht="19.5" x14ac:dyDescent="0.4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 s="4">
        <f t="shared" si="8"/>
        <v>121.99004424778761</v>
      </c>
      <c r="K167">
        <v>1501563600</v>
      </c>
      <c r="L167" s="5">
        <f t="shared" si="9"/>
        <v>44.005985634477256</v>
      </c>
      <c r="M167">
        <v>1504328400</v>
      </c>
      <c r="N167" s="9">
        <f t="shared" si="10"/>
        <v>42948.208333333328</v>
      </c>
      <c r="O167" s="9">
        <f t="shared" si="11"/>
        <v>42980.208333333328</v>
      </c>
      <c r="P167" t="b">
        <v>0</v>
      </c>
      <c r="Q167" t="b">
        <v>0</v>
      </c>
      <c r="R167" t="s">
        <v>28</v>
      </c>
      <c r="S167" s="5" t="str" cm="1">
        <f t="array" ref="S167:T167">_xlfn.TEXTSPLIT(R167, "/")</f>
        <v>technology</v>
      </c>
      <c r="T167" s="5" t="str">
        <v>web</v>
      </c>
    </row>
    <row r="168" spans="1:20" ht="19.5" x14ac:dyDescent="0.4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 s="4">
        <f t="shared" si="8"/>
        <v>137.13265306122449</v>
      </c>
      <c r="K168">
        <v>1292997600</v>
      </c>
      <c r="L168" s="5">
        <f t="shared" si="9"/>
        <v>55.077868852459019</v>
      </c>
      <c r="M168">
        <v>1293343200</v>
      </c>
      <c r="N168" s="9">
        <f t="shared" si="10"/>
        <v>40534.25</v>
      </c>
      <c r="O168" s="9">
        <f t="shared" si="11"/>
        <v>40538.25</v>
      </c>
      <c r="P168" t="b">
        <v>0</v>
      </c>
      <c r="Q168" t="b">
        <v>0</v>
      </c>
      <c r="R168" t="s">
        <v>122</v>
      </c>
      <c r="S168" s="5" t="str" cm="1">
        <f t="array" ref="S168:T168">_xlfn.TEXTSPLIT(R168, "/")</f>
        <v>photography</v>
      </c>
      <c r="T168" s="5" t="str">
        <v>photography books</v>
      </c>
    </row>
    <row r="169" spans="1:20" ht="19.5" x14ac:dyDescent="0.4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 s="4">
        <f t="shared" si="8"/>
        <v>415.53846153846149</v>
      </c>
      <c r="K169">
        <v>1370840400</v>
      </c>
      <c r="L169" s="5">
        <f t="shared" si="9"/>
        <v>74</v>
      </c>
      <c r="M169">
        <v>1371704400</v>
      </c>
      <c r="N169" s="9">
        <f t="shared" si="10"/>
        <v>41435.208333333336</v>
      </c>
      <c r="O169" s="9">
        <f t="shared" si="11"/>
        <v>41445.208333333336</v>
      </c>
      <c r="P169" t="b">
        <v>0</v>
      </c>
      <c r="Q169" t="b">
        <v>0</v>
      </c>
      <c r="R169" t="s">
        <v>33</v>
      </c>
      <c r="S169" s="5" t="str" cm="1">
        <f t="array" ref="S169:T169">_xlfn.TEXTSPLIT(R169, "/")</f>
        <v>theater</v>
      </c>
      <c r="T169" s="5" t="str">
        <v>plays</v>
      </c>
    </row>
    <row r="170" spans="1:20" ht="19.5" x14ac:dyDescent="0.4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 s="4">
        <f t="shared" si="8"/>
        <v>31.30913348946136</v>
      </c>
      <c r="K170">
        <v>1550815200</v>
      </c>
      <c r="L170" s="5">
        <f t="shared" si="9"/>
        <v>41.996858638743454</v>
      </c>
      <c r="M170">
        <v>1552798800</v>
      </c>
      <c r="N170" s="9">
        <f t="shared" si="10"/>
        <v>43518.25</v>
      </c>
      <c r="O170" s="9">
        <f t="shared" si="11"/>
        <v>43541.208333333328</v>
      </c>
      <c r="P170" t="b">
        <v>0</v>
      </c>
      <c r="Q170" t="b">
        <v>1</v>
      </c>
      <c r="R170" t="s">
        <v>60</v>
      </c>
      <c r="S170" s="5" t="str" cm="1">
        <f t="array" ref="S170:T170">_xlfn.TEXTSPLIT(R170, "/")</f>
        <v>music</v>
      </c>
      <c r="T170" s="5" t="str">
        <v>indie rock</v>
      </c>
    </row>
    <row r="171" spans="1:20" ht="19.5" x14ac:dyDescent="0.4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 s="4">
        <f t="shared" si="8"/>
        <v>424.08154506437768</v>
      </c>
      <c r="K171">
        <v>1339909200</v>
      </c>
      <c r="L171" s="5">
        <f t="shared" si="9"/>
        <v>77.988161010260455</v>
      </c>
      <c r="M171">
        <v>1342328400</v>
      </c>
      <c r="N171" s="9">
        <f t="shared" si="10"/>
        <v>41077.208333333336</v>
      </c>
      <c r="O171" s="9">
        <f t="shared" si="11"/>
        <v>41105.208333333336</v>
      </c>
      <c r="P171" t="b">
        <v>0</v>
      </c>
      <c r="Q171" t="b">
        <v>1</v>
      </c>
      <c r="R171" t="s">
        <v>100</v>
      </c>
      <c r="S171" s="5" t="str" cm="1">
        <f t="array" ref="S171:T171">_xlfn.TEXTSPLIT(R171, "/")</f>
        <v>film &amp; video</v>
      </c>
      <c r="T171" s="5" t="str">
        <v>shorts</v>
      </c>
    </row>
    <row r="172" spans="1:20" ht="19.5" x14ac:dyDescent="0.4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 s="4">
        <f t="shared" si="8"/>
        <v>2.93886230728336</v>
      </c>
      <c r="K172">
        <v>1501736400</v>
      </c>
      <c r="L172" s="5">
        <f t="shared" si="9"/>
        <v>82.507462686567166</v>
      </c>
      <c r="M172">
        <v>1502341200</v>
      </c>
      <c r="N172" s="9">
        <f t="shared" si="10"/>
        <v>42950.208333333328</v>
      </c>
      <c r="O172" s="9">
        <f t="shared" si="11"/>
        <v>42957.208333333328</v>
      </c>
      <c r="P172" t="b">
        <v>0</v>
      </c>
      <c r="Q172" t="b">
        <v>0</v>
      </c>
      <c r="R172" t="s">
        <v>60</v>
      </c>
      <c r="S172" s="5" t="str" cm="1">
        <f t="array" ref="S172:T172">_xlfn.TEXTSPLIT(R172, "/")</f>
        <v>music</v>
      </c>
      <c r="T172" s="5" t="str">
        <v>indie rock</v>
      </c>
    </row>
    <row r="173" spans="1:20" ht="33.75" x14ac:dyDescent="0.4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 s="4">
        <f t="shared" si="8"/>
        <v>10.63265306122449</v>
      </c>
      <c r="K173">
        <v>1395291600</v>
      </c>
      <c r="L173" s="5">
        <f t="shared" si="9"/>
        <v>104.2</v>
      </c>
      <c r="M173">
        <v>1397192400</v>
      </c>
      <c r="N173" s="9">
        <f t="shared" si="10"/>
        <v>41718.208333333336</v>
      </c>
      <c r="O173" s="9">
        <f t="shared" si="11"/>
        <v>41740.208333333336</v>
      </c>
      <c r="P173" t="b">
        <v>0</v>
      </c>
      <c r="Q173" t="b">
        <v>0</v>
      </c>
      <c r="R173" t="s">
        <v>206</v>
      </c>
      <c r="S173" s="5" t="str" cm="1">
        <f t="array" ref="S173:T173">_xlfn.TEXTSPLIT(R173, "/")</f>
        <v>publishing</v>
      </c>
      <c r="T173" s="5" t="str">
        <v>translations</v>
      </c>
    </row>
    <row r="174" spans="1:20" ht="19.5" x14ac:dyDescent="0.4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 s="4">
        <f t="shared" si="8"/>
        <v>82.875</v>
      </c>
      <c r="K174">
        <v>1405746000</v>
      </c>
      <c r="L174" s="5">
        <f t="shared" si="9"/>
        <v>25.5</v>
      </c>
      <c r="M174">
        <v>1407042000</v>
      </c>
      <c r="N174" s="9">
        <f t="shared" si="10"/>
        <v>41839.208333333336</v>
      </c>
      <c r="O174" s="9">
        <f t="shared" si="11"/>
        <v>41854.208333333336</v>
      </c>
      <c r="P174" t="b">
        <v>0</v>
      </c>
      <c r="Q174" t="b">
        <v>1</v>
      </c>
      <c r="R174" t="s">
        <v>42</v>
      </c>
      <c r="S174" s="5" t="str" cm="1">
        <f t="array" ref="S174:T174">_xlfn.TEXTSPLIT(R174, "/")</f>
        <v>film &amp; video</v>
      </c>
      <c r="T174" s="5" t="str">
        <v>documentary</v>
      </c>
    </row>
    <row r="175" spans="1:20" ht="19.5" x14ac:dyDescent="0.4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 s="4">
        <f t="shared" si="8"/>
        <v>163.01447776628748</v>
      </c>
      <c r="K175">
        <v>1368853200</v>
      </c>
      <c r="L175" s="5">
        <f t="shared" si="9"/>
        <v>100.98334401024984</v>
      </c>
      <c r="M175">
        <v>1369371600</v>
      </c>
      <c r="N175" s="9">
        <f t="shared" si="10"/>
        <v>41412.208333333336</v>
      </c>
      <c r="O175" s="9">
        <f t="shared" si="11"/>
        <v>41418.208333333336</v>
      </c>
      <c r="P175" t="b">
        <v>0</v>
      </c>
      <c r="Q175" t="b">
        <v>0</v>
      </c>
      <c r="R175" t="s">
        <v>33</v>
      </c>
      <c r="S175" s="5" t="str" cm="1">
        <f t="array" ref="S175:T175">_xlfn.TEXTSPLIT(R175, "/")</f>
        <v>theater</v>
      </c>
      <c r="T175" s="5" t="str">
        <v>plays</v>
      </c>
    </row>
    <row r="176" spans="1:20" ht="19.5" x14ac:dyDescent="0.4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 s="4">
        <f t="shared" si="8"/>
        <v>894.66666666666674</v>
      </c>
      <c r="K176">
        <v>1444021200</v>
      </c>
      <c r="L176" s="5">
        <f t="shared" si="9"/>
        <v>111.83333333333333</v>
      </c>
      <c r="M176">
        <v>1444107600</v>
      </c>
      <c r="N176" s="9">
        <f t="shared" si="10"/>
        <v>42282.208333333328</v>
      </c>
      <c r="O176" s="9">
        <f t="shared" si="11"/>
        <v>42283.208333333328</v>
      </c>
      <c r="P176" t="b">
        <v>0</v>
      </c>
      <c r="Q176" t="b">
        <v>1</v>
      </c>
      <c r="R176" t="s">
        <v>65</v>
      </c>
      <c r="S176" s="5" t="str" cm="1">
        <f t="array" ref="S176:T176">_xlfn.TEXTSPLIT(R176, "/")</f>
        <v>technology</v>
      </c>
      <c r="T176" s="5" t="str">
        <v>wearables</v>
      </c>
    </row>
    <row r="177" spans="1:20" ht="19.5" x14ac:dyDescent="0.4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 s="4">
        <f t="shared" si="8"/>
        <v>26.191501103752756</v>
      </c>
      <c r="K177">
        <v>1472619600</v>
      </c>
      <c r="L177" s="5">
        <f t="shared" si="9"/>
        <v>41.999115044247787</v>
      </c>
      <c r="M177">
        <v>1474261200</v>
      </c>
      <c r="N177" s="9">
        <f t="shared" si="10"/>
        <v>42613.208333333328</v>
      </c>
      <c r="O177" s="9">
        <f t="shared" si="11"/>
        <v>42632.208333333328</v>
      </c>
      <c r="P177" t="b">
        <v>0</v>
      </c>
      <c r="Q177" t="b">
        <v>0</v>
      </c>
      <c r="R177" t="s">
        <v>33</v>
      </c>
      <c r="S177" s="5" t="str" cm="1">
        <f t="array" ref="S177:T177">_xlfn.TEXTSPLIT(R177, "/")</f>
        <v>theater</v>
      </c>
      <c r="T177" s="5" t="str">
        <v>plays</v>
      </c>
    </row>
    <row r="178" spans="1:20" ht="33.75" x14ac:dyDescent="0.4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 s="4">
        <f t="shared" si="8"/>
        <v>74.834782608695647</v>
      </c>
      <c r="K178">
        <v>1472878800</v>
      </c>
      <c r="L178" s="5">
        <f t="shared" si="9"/>
        <v>110.05115089514067</v>
      </c>
      <c r="M178">
        <v>1473656400</v>
      </c>
      <c r="N178" s="9">
        <f t="shared" si="10"/>
        <v>42616.208333333328</v>
      </c>
      <c r="O178" s="9">
        <f t="shared" si="11"/>
        <v>42625.208333333328</v>
      </c>
      <c r="P178" t="b">
        <v>0</v>
      </c>
      <c r="Q178" t="b">
        <v>0</v>
      </c>
      <c r="R178" t="s">
        <v>33</v>
      </c>
      <c r="S178" s="5" t="str" cm="1">
        <f t="array" ref="S178:T178">_xlfn.TEXTSPLIT(R178, "/")</f>
        <v>theater</v>
      </c>
      <c r="T178" s="5" t="str">
        <v>plays</v>
      </c>
    </row>
    <row r="179" spans="1:20" ht="19.5" x14ac:dyDescent="0.4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 s="4">
        <f t="shared" si="8"/>
        <v>416.47680412371136</v>
      </c>
      <c r="K179">
        <v>1289800800</v>
      </c>
      <c r="L179" s="5">
        <f t="shared" si="9"/>
        <v>58.997079225994888</v>
      </c>
      <c r="M179">
        <v>1291960800</v>
      </c>
      <c r="N179" s="9">
        <f t="shared" si="10"/>
        <v>40497.25</v>
      </c>
      <c r="O179" s="9">
        <f t="shared" si="11"/>
        <v>40522.25</v>
      </c>
      <c r="P179" t="b">
        <v>0</v>
      </c>
      <c r="Q179" t="b">
        <v>0</v>
      </c>
      <c r="R179" t="s">
        <v>33</v>
      </c>
      <c r="S179" s="5" t="str" cm="1">
        <f t="array" ref="S179:T179">_xlfn.TEXTSPLIT(R179, "/")</f>
        <v>theater</v>
      </c>
      <c r="T179" s="5" t="str">
        <v>plays</v>
      </c>
    </row>
    <row r="180" spans="1:20" ht="19.5" x14ac:dyDescent="0.4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 s="4">
        <f t="shared" si="8"/>
        <v>96.208333333333329</v>
      </c>
      <c r="K180">
        <v>1505970000</v>
      </c>
      <c r="L180" s="5">
        <f t="shared" si="9"/>
        <v>32.985714285714288</v>
      </c>
      <c r="M180">
        <v>1506747600</v>
      </c>
      <c r="N180" s="9">
        <f t="shared" si="10"/>
        <v>42999.208333333328</v>
      </c>
      <c r="O180" s="9">
        <f t="shared" si="11"/>
        <v>43008.208333333328</v>
      </c>
      <c r="P180" t="b">
        <v>0</v>
      </c>
      <c r="Q180" t="b">
        <v>0</v>
      </c>
      <c r="R180" t="s">
        <v>17</v>
      </c>
      <c r="S180" s="5" t="str" cm="1">
        <f t="array" ref="S180:T180">_xlfn.TEXTSPLIT(R180, "/")</f>
        <v>food</v>
      </c>
      <c r="T180" s="5" t="str">
        <v>food trucks</v>
      </c>
    </row>
    <row r="181" spans="1:20" ht="33.75" x14ac:dyDescent="0.4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 s="4">
        <f t="shared" si="8"/>
        <v>357.71910112359546</v>
      </c>
      <c r="K181">
        <v>1363496400</v>
      </c>
      <c r="L181" s="5">
        <f t="shared" si="9"/>
        <v>45.005654509471306</v>
      </c>
      <c r="M181">
        <v>1363582800</v>
      </c>
      <c r="N181" s="9">
        <f t="shared" si="10"/>
        <v>41350.208333333336</v>
      </c>
      <c r="O181" s="9">
        <f t="shared" si="11"/>
        <v>41351.208333333336</v>
      </c>
      <c r="P181" t="b">
        <v>0</v>
      </c>
      <c r="Q181" t="b">
        <v>1</v>
      </c>
      <c r="R181" t="s">
        <v>33</v>
      </c>
      <c r="S181" s="5" t="str" cm="1">
        <f t="array" ref="S181:T181">_xlfn.TEXTSPLIT(R181, "/")</f>
        <v>theater</v>
      </c>
      <c r="T181" s="5" t="str">
        <v>plays</v>
      </c>
    </row>
    <row r="182" spans="1:20" ht="19.5" x14ac:dyDescent="0.4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 s="4">
        <f t="shared" si="8"/>
        <v>308.45714285714286</v>
      </c>
      <c r="K182">
        <v>1269234000</v>
      </c>
      <c r="L182" s="5">
        <f t="shared" si="9"/>
        <v>81.98196487897485</v>
      </c>
      <c r="M182">
        <v>1269666000</v>
      </c>
      <c r="N182" s="9">
        <f t="shared" si="10"/>
        <v>40259.208333333336</v>
      </c>
      <c r="O182" s="9">
        <f t="shared" si="11"/>
        <v>40264.208333333336</v>
      </c>
      <c r="P182" t="b">
        <v>0</v>
      </c>
      <c r="Q182" t="b">
        <v>0</v>
      </c>
      <c r="R182" t="s">
        <v>65</v>
      </c>
      <c r="S182" s="5" t="str" cm="1">
        <f t="array" ref="S182:T182">_xlfn.TEXTSPLIT(R182, "/")</f>
        <v>technology</v>
      </c>
      <c r="T182" s="5" t="str">
        <v>wearables</v>
      </c>
    </row>
    <row r="183" spans="1:20" ht="19.5" x14ac:dyDescent="0.4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 s="4">
        <f t="shared" si="8"/>
        <v>61.802325581395344</v>
      </c>
      <c r="K183">
        <v>1507093200</v>
      </c>
      <c r="L183" s="5">
        <f t="shared" si="9"/>
        <v>39.080882352941174</v>
      </c>
      <c r="M183">
        <v>1508648400</v>
      </c>
      <c r="N183" s="9">
        <f t="shared" si="10"/>
        <v>43012.208333333328</v>
      </c>
      <c r="O183" s="9">
        <f t="shared" si="11"/>
        <v>43030.208333333328</v>
      </c>
      <c r="P183" t="b">
        <v>0</v>
      </c>
      <c r="Q183" t="b">
        <v>0</v>
      </c>
      <c r="R183" t="s">
        <v>28</v>
      </c>
      <c r="S183" s="5" t="str" cm="1">
        <f t="array" ref="S183:T183">_xlfn.TEXTSPLIT(R183, "/")</f>
        <v>technology</v>
      </c>
      <c r="T183" s="5" t="str">
        <v>web</v>
      </c>
    </row>
    <row r="184" spans="1:20" ht="33.75" x14ac:dyDescent="0.4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 s="4">
        <f t="shared" si="8"/>
        <v>722.32472324723244</v>
      </c>
      <c r="K184">
        <v>1560574800</v>
      </c>
      <c r="L184" s="5">
        <f t="shared" si="9"/>
        <v>58.996383363471971</v>
      </c>
      <c r="M184">
        <v>1561957200</v>
      </c>
      <c r="N184" s="9">
        <f t="shared" si="10"/>
        <v>43631.208333333328</v>
      </c>
      <c r="O184" s="9">
        <f t="shared" si="11"/>
        <v>43647.208333333328</v>
      </c>
      <c r="P184" t="b">
        <v>0</v>
      </c>
      <c r="Q184" t="b">
        <v>0</v>
      </c>
      <c r="R184" t="s">
        <v>33</v>
      </c>
      <c r="S184" s="5" t="str" cm="1">
        <f t="array" ref="S184:T184">_xlfn.TEXTSPLIT(R184, "/")</f>
        <v>theater</v>
      </c>
      <c r="T184" s="5" t="str">
        <v>plays</v>
      </c>
    </row>
    <row r="185" spans="1:20" ht="33.75" x14ac:dyDescent="0.4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 s="4">
        <f t="shared" si="8"/>
        <v>69.117647058823522</v>
      </c>
      <c r="K185">
        <v>1284008400</v>
      </c>
      <c r="L185" s="5">
        <f t="shared" si="9"/>
        <v>40.988372093023258</v>
      </c>
      <c r="M185">
        <v>1285131600</v>
      </c>
      <c r="N185" s="9">
        <f t="shared" si="10"/>
        <v>40430.208333333336</v>
      </c>
      <c r="O185" s="9">
        <f t="shared" si="11"/>
        <v>40443.208333333336</v>
      </c>
      <c r="P185" t="b">
        <v>0</v>
      </c>
      <c r="Q185" t="b">
        <v>0</v>
      </c>
      <c r="R185" t="s">
        <v>23</v>
      </c>
      <c r="S185" s="5" t="str" cm="1">
        <f t="array" ref="S185:T185">_xlfn.TEXTSPLIT(R185, "/")</f>
        <v>music</v>
      </c>
      <c r="T185" s="5" t="str">
        <v>rock</v>
      </c>
    </row>
    <row r="186" spans="1:20" ht="19.5" x14ac:dyDescent="0.4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 s="4">
        <f t="shared" si="8"/>
        <v>293.05555555555554</v>
      </c>
      <c r="K186">
        <v>1556859600</v>
      </c>
      <c r="L186" s="5">
        <f t="shared" si="9"/>
        <v>31.029411764705884</v>
      </c>
      <c r="M186">
        <v>1556946000</v>
      </c>
      <c r="N186" s="9">
        <f t="shared" si="10"/>
        <v>43588.208333333328</v>
      </c>
      <c r="O186" s="9">
        <f t="shared" si="11"/>
        <v>43589.208333333328</v>
      </c>
      <c r="P186" t="b">
        <v>0</v>
      </c>
      <c r="Q186" t="b">
        <v>0</v>
      </c>
      <c r="R186" t="s">
        <v>33</v>
      </c>
      <c r="S186" s="5" t="str" cm="1">
        <f t="array" ref="S186:T186">_xlfn.TEXTSPLIT(R186, "/")</f>
        <v>theater</v>
      </c>
      <c r="T186" s="5" t="str">
        <v>plays</v>
      </c>
    </row>
    <row r="187" spans="1:20" ht="19.5" x14ac:dyDescent="0.4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 s="4">
        <f t="shared" si="8"/>
        <v>71.8</v>
      </c>
      <c r="K187">
        <v>1526187600</v>
      </c>
      <c r="L187" s="5">
        <f t="shared" si="9"/>
        <v>37.789473684210527</v>
      </c>
      <c r="M187">
        <v>1527138000</v>
      </c>
      <c r="N187" s="9">
        <f t="shared" si="10"/>
        <v>43233.208333333328</v>
      </c>
      <c r="O187" s="9">
        <f t="shared" si="11"/>
        <v>43244.208333333328</v>
      </c>
      <c r="P187" t="b">
        <v>0</v>
      </c>
      <c r="Q187" t="b">
        <v>0</v>
      </c>
      <c r="R187" t="s">
        <v>269</v>
      </c>
      <c r="S187" s="5" t="str" cm="1">
        <f t="array" ref="S187:T187">_xlfn.TEXTSPLIT(R187, "/")</f>
        <v>film &amp; video</v>
      </c>
      <c r="T187" s="5" t="str">
        <v>television</v>
      </c>
    </row>
    <row r="188" spans="1:20" ht="19.5" x14ac:dyDescent="0.4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 s="4">
        <f t="shared" si="8"/>
        <v>31.934684684684683</v>
      </c>
      <c r="K188">
        <v>1400821200</v>
      </c>
      <c r="L188" s="5">
        <f t="shared" si="9"/>
        <v>32.006772009029348</v>
      </c>
      <c r="M188">
        <v>1402117200</v>
      </c>
      <c r="N188" s="9">
        <f t="shared" si="10"/>
        <v>41782.208333333336</v>
      </c>
      <c r="O188" s="9">
        <f t="shared" si="11"/>
        <v>41797.208333333336</v>
      </c>
      <c r="P188" t="b">
        <v>0</v>
      </c>
      <c r="Q188" t="b">
        <v>0</v>
      </c>
      <c r="R188" t="s">
        <v>33</v>
      </c>
      <c r="S188" s="5" t="str" cm="1">
        <f t="array" ref="S188:T188">_xlfn.TEXTSPLIT(R188, "/")</f>
        <v>theater</v>
      </c>
      <c r="T188" s="5" t="str">
        <v>plays</v>
      </c>
    </row>
    <row r="189" spans="1:20" ht="19.5" x14ac:dyDescent="0.4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 s="4">
        <f t="shared" si="8"/>
        <v>229.87375415282392</v>
      </c>
      <c r="K189">
        <v>1361599200</v>
      </c>
      <c r="L189" s="5">
        <f t="shared" si="9"/>
        <v>95.966712898751737</v>
      </c>
      <c r="M189">
        <v>1364014800</v>
      </c>
      <c r="N189" s="9">
        <f t="shared" si="10"/>
        <v>41328.25</v>
      </c>
      <c r="O189" s="9">
        <f t="shared" si="11"/>
        <v>41356.208333333336</v>
      </c>
      <c r="P189" t="b">
        <v>0</v>
      </c>
      <c r="Q189" t="b">
        <v>1</v>
      </c>
      <c r="R189" t="s">
        <v>100</v>
      </c>
      <c r="S189" s="5" t="str" cm="1">
        <f t="array" ref="S189:T189">_xlfn.TEXTSPLIT(R189, "/")</f>
        <v>film &amp; video</v>
      </c>
      <c r="T189" s="5" t="str">
        <v>shorts</v>
      </c>
    </row>
    <row r="190" spans="1:20" ht="19.5" x14ac:dyDescent="0.4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 s="4">
        <f t="shared" si="8"/>
        <v>32.012195121951223</v>
      </c>
      <c r="K190">
        <v>1417500000</v>
      </c>
      <c r="L190" s="5">
        <f t="shared" si="9"/>
        <v>75</v>
      </c>
      <c r="M190">
        <v>1417586400</v>
      </c>
      <c r="N190" s="9">
        <f t="shared" si="10"/>
        <v>41975.25</v>
      </c>
      <c r="O190" s="9">
        <f t="shared" si="11"/>
        <v>41976.25</v>
      </c>
      <c r="P190" t="b">
        <v>0</v>
      </c>
      <c r="Q190" t="b">
        <v>0</v>
      </c>
      <c r="R190" t="s">
        <v>33</v>
      </c>
      <c r="S190" s="5" t="str" cm="1">
        <f t="array" ref="S190:T190">_xlfn.TEXTSPLIT(R190, "/")</f>
        <v>theater</v>
      </c>
      <c r="T190" s="5" t="str">
        <v>plays</v>
      </c>
    </row>
    <row r="191" spans="1:20" ht="19.5" x14ac:dyDescent="0.4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 s="4">
        <f t="shared" si="8"/>
        <v>23.525352848928385</v>
      </c>
      <c r="K191">
        <v>1457071200</v>
      </c>
      <c r="L191" s="5">
        <f t="shared" si="9"/>
        <v>102.0498866213152</v>
      </c>
      <c r="M191">
        <v>1457071200</v>
      </c>
      <c r="N191" s="9">
        <f t="shared" si="10"/>
        <v>42433.25</v>
      </c>
      <c r="O191" s="9">
        <f t="shared" si="11"/>
        <v>42433.25</v>
      </c>
      <c r="P191" t="b">
        <v>0</v>
      </c>
      <c r="Q191" t="b">
        <v>0</v>
      </c>
      <c r="R191" t="s">
        <v>33</v>
      </c>
      <c r="S191" s="5" t="str" cm="1">
        <f t="array" ref="S191:T191">_xlfn.TEXTSPLIT(R191, "/")</f>
        <v>theater</v>
      </c>
      <c r="T191" s="5" t="str">
        <v>plays</v>
      </c>
    </row>
    <row r="192" spans="1:20" ht="19.5" x14ac:dyDescent="0.4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 s="4">
        <f t="shared" si="8"/>
        <v>68.594594594594597</v>
      </c>
      <c r="K192">
        <v>1370322000</v>
      </c>
      <c r="L192" s="5">
        <f t="shared" si="9"/>
        <v>105.75</v>
      </c>
      <c r="M192">
        <v>1370408400</v>
      </c>
      <c r="N192" s="9">
        <f t="shared" si="10"/>
        <v>41429.208333333336</v>
      </c>
      <c r="O192" s="9">
        <f t="shared" si="11"/>
        <v>41430.208333333336</v>
      </c>
      <c r="P192" t="b">
        <v>0</v>
      </c>
      <c r="Q192" t="b">
        <v>1</v>
      </c>
      <c r="R192" t="s">
        <v>33</v>
      </c>
      <c r="S192" s="5" t="str" cm="1">
        <f t="array" ref="S192:T192">_xlfn.TEXTSPLIT(R192, "/")</f>
        <v>theater</v>
      </c>
      <c r="T192" s="5" t="str">
        <v>plays</v>
      </c>
    </row>
    <row r="193" spans="1:20" ht="19.5" x14ac:dyDescent="0.4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 s="4">
        <f t="shared" si="8"/>
        <v>37.952380952380956</v>
      </c>
      <c r="K193">
        <v>1552366800</v>
      </c>
      <c r="L193" s="5">
        <f t="shared" si="9"/>
        <v>37.069767441860463</v>
      </c>
      <c r="M193">
        <v>1552626000</v>
      </c>
      <c r="N193" s="9">
        <f t="shared" si="10"/>
        <v>43536.208333333328</v>
      </c>
      <c r="O193" s="9">
        <f t="shared" si="11"/>
        <v>43539.208333333328</v>
      </c>
      <c r="P193" t="b">
        <v>0</v>
      </c>
      <c r="Q193" t="b">
        <v>0</v>
      </c>
      <c r="R193" t="s">
        <v>33</v>
      </c>
      <c r="S193" s="5" t="str" cm="1">
        <f t="array" ref="S193:T193">_xlfn.TEXTSPLIT(R193, "/")</f>
        <v>theater</v>
      </c>
      <c r="T193" s="5" t="str">
        <v>plays</v>
      </c>
    </row>
    <row r="194" spans="1:20" ht="19.5" x14ac:dyDescent="0.4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 s="4">
        <f t="shared" si="8"/>
        <v>19.992957746478872</v>
      </c>
      <c r="K194">
        <v>1403845200</v>
      </c>
      <c r="L194" s="5">
        <f t="shared" si="9"/>
        <v>35.049382716049379</v>
      </c>
      <c r="M194">
        <v>1404190800</v>
      </c>
      <c r="N194" s="9">
        <f t="shared" si="10"/>
        <v>41817.208333333336</v>
      </c>
      <c r="O194" s="9">
        <f t="shared" si="11"/>
        <v>41821.208333333336</v>
      </c>
      <c r="P194" t="b">
        <v>0</v>
      </c>
      <c r="Q194" t="b">
        <v>0</v>
      </c>
      <c r="R194" t="s">
        <v>23</v>
      </c>
      <c r="S194" s="5" t="str" cm="1">
        <f t="array" ref="S194:T194">_xlfn.TEXTSPLIT(R194, "/")</f>
        <v>music</v>
      </c>
      <c r="T194" s="5" t="str">
        <v>rock</v>
      </c>
    </row>
    <row r="195" spans="1:20" ht="19.5" x14ac:dyDescent="0.4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 s="4">
        <f t="shared" ref="J195:J258" si="12">(E195/D195*100)</f>
        <v>45.636363636363633</v>
      </c>
      <c r="K195">
        <v>1523163600</v>
      </c>
      <c r="L195" s="5">
        <f t="shared" ref="L195:L258" si="13">E195/G195</f>
        <v>46.338461538461537</v>
      </c>
      <c r="M195">
        <v>1523509200</v>
      </c>
      <c r="N195" s="9">
        <f t="shared" ref="N195:N258" si="14">(((K195/60)/60)/24)+DATE(1970,1,1)</f>
        <v>43198.208333333328</v>
      </c>
      <c r="O195" s="9">
        <f t="shared" ref="O195:O258" si="15">(((M195/60)/60)/24)+DATE(1970,1,1)</f>
        <v>43202.208333333328</v>
      </c>
      <c r="P195" t="b">
        <v>1</v>
      </c>
      <c r="Q195" t="b">
        <v>0</v>
      </c>
      <c r="R195" t="s">
        <v>60</v>
      </c>
      <c r="S195" s="5" t="str" cm="1">
        <f t="array" ref="S195:T195">_xlfn.TEXTSPLIT(R195, "/")</f>
        <v>music</v>
      </c>
      <c r="T195" s="5" t="str">
        <v>indie rock</v>
      </c>
    </row>
    <row r="196" spans="1:20" ht="19.5" x14ac:dyDescent="0.4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 s="4">
        <f t="shared" si="12"/>
        <v>122.7605633802817</v>
      </c>
      <c r="K196">
        <v>1442206800</v>
      </c>
      <c r="L196" s="5">
        <f t="shared" si="13"/>
        <v>69.174603174603178</v>
      </c>
      <c r="M196">
        <v>1443589200</v>
      </c>
      <c r="N196" s="9">
        <f t="shared" si="14"/>
        <v>42261.208333333328</v>
      </c>
      <c r="O196" s="9">
        <f t="shared" si="15"/>
        <v>42277.208333333328</v>
      </c>
      <c r="P196" t="b">
        <v>0</v>
      </c>
      <c r="Q196" t="b">
        <v>0</v>
      </c>
      <c r="R196" t="s">
        <v>148</v>
      </c>
      <c r="S196" s="5" t="str" cm="1">
        <f t="array" ref="S196:T196">_xlfn.TEXTSPLIT(R196, "/")</f>
        <v>music</v>
      </c>
      <c r="T196" s="5" t="str">
        <v>metal</v>
      </c>
    </row>
    <row r="197" spans="1:20" ht="19.5" x14ac:dyDescent="0.4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 s="4">
        <f t="shared" si="12"/>
        <v>361.75316455696202</v>
      </c>
      <c r="K197">
        <v>1532840400</v>
      </c>
      <c r="L197" s="5">
        <f t="shared" si="13"/>
        <v>109.07824427480917</v>
      </c>
      <c r="M197">
        <v>1533445200</v>
      </c>
      <c r="N197" s="9">
        <f t="shared" si="14"/>
        <v>43310.208333333328</v>
      </c>
      <c r="O197" s="9">
        <f t="shared" si="15"/>
        <v>43317.208333333328</v>
      </c>
      <c r="P197" t="b">
        <v>0</v>
      </c>
      <c r="Q197" t="b">
        <v>0</v>
      </c>
      <c r="R197" t="s">
        <v>50</v>
      </c>
      <c r="S197" s="5" t="str" cm="1">
        <f t="array" ref="S197:T197">_xlfn.TEXTSPLIT(R197, "/")</f>
        <v>music</v>
      </c>
      <c r="T197" s="5" t="str">
        <v>electric music</v>
      </c>
    </row>
    <row r="198" spans="1:20" ht="19.5" x14ac:dyDescent="0.4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 s="4">
        <f t="shared" si="12"/>
        <v>63.146341463414636</v>
      </c>
      <c r="K198">
        <v>1472878800</v>
      </c>
      <c r="L198" s="5">
        <f t="shared" si="13"/>
        <v>51.78</v>
      </c>
      <c r="M198">
        <v>1474520400</v>
      </c>
      <c r="N198" s="9">
        <f t="shared" si="14"/>
        <v>42616.208333333328</v>
      </c>
      <c r="O198" s="9">
        <f t="shared" si="15"/>
        <v>42635.208333333328</v>
      </c>
      <c r="P198" t="b">
        <v>0</v>
      </c>
      <c r="Q198" t="b">
        <v>0</v>
      </c>
      <c r="R198" t="s">
        <v>65</v>
      </c>
      <c r="S198" s="5" t="str" cm="1">
        <f t="array" ref="S198:T198">_xlfn.TEXTSPLIT(R198, "/")</f>
        <v>technology</v>
      </c>
      <c r="T198" s="5" t="str">
        <v>wearables</v>
      </c>
    </row>
    <row r="199" spans="1:20" ht="19.5" x14ac:dyDescent="0.4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 s="4">
        <f t="shared" si="12"/>
        <v>298.20475319926874</v>
      </c>
      <c r="K199">
        <v>1498194000</v>
      </c>
      <c r="L199" s="5">
        <f t="shared" si="13"/>
        <v>82.010055304172951</v>
      </c>
      <c r="M199">
        <v>1499403600</v>
      </c>
      <c r="N199" s="9">
        <f t="shared" si="14"/>
        <v>42909.208333333328</v>
      </c>
      <c r="O199" s="9">
        <f t="shared" si="15"/>
        <v>42923.208333333328</v>
      </c>
      <c r="P199" t="b">
        <v>0</v>
      </c>
      <c r="Q199" t="b">
        <v>0</v>
      </c>
      <c r="R199" t="s">
        <v>53</v>
      </c>
      <c r="S199" s="5" t="str" cm="1">
        <f t="array" ref="S199:T199">_xlfn.TEXTSPLIT(R199, "/")</f>
        <v>film &amp; video</v>
      </c>
      <c r="T199" s="5" t="str">
        <v>drama</v>
      </c>
    </row>
    <row r="200" spans="1:20" ht="19.5" x14ac:dyDescent="0.4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 s="4">
        <f t="shared" si="12"/>
        <v>9.5585443037974684</v>
      </c>
      <c r="K200">
        <v>1281070800</v>
      </c>
      <c r="L200" s="5">
        <f t="shared" si="13"/>
        <v>35.958333333333336</v>
      </c>
      <c r="M200">
        <v>1283576400</v>
      </c>
      <c r="N200" s="9">
        <f t="shared" si="14"/>
        <v>40396.208333333336</v>
      </c>
      <c r="O200" s="9">
        <f t="shared" si="15"/>
        <v>40425.208333333336</v>
      </c>
      <c r="P200" t="b">
        <v>0</v>
      </c>
      <c r="Q200" t="b">
        <v>0</v>
      </c>
      <c r="R200" t="s">
        <v>50</v>
      </c>
      <c r="S200" s="5" t="str" cm="1">
        <f t="array" ref="S200:T200">_xlfn.TEXTSPLIT(R200, "/")</f>
        <v>music</v>
      </c>
      <c r="T200" s="5" t="str">
        <v>electric music</v>
      </c>
    </row>
    <row r="201" spans="1:20" ht="19.5" x14ac:dyDescent="0.4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 s="4">
        <f t="shared" si="12"/>
        <v>53.777777777777779</v>
      </c>
      <c r="K201">
        <v>1436245200</v>
      </c>
      <c r="L201" s="5">
        <f t="shared" si="13"/>
        <v>74.461538461538467</v>
      </c>
      <c r="M201">
        <v>1436590800</v>
      </c>
      <c r="N201" s="9">
        <f t="shared" si="14"/>
        <v>42192.208333333328</v>
      </c>
      <c r="O201" s="9">
        <f t="shared" si="15"/>
        <v>42196.208333333328</v>
      </c>
      <c r="P201" t="b">
        <v>0</v>
      </c>
      <c r="Q201" t="b">
        <v>0</v>
      </c>
      <c r="R201" t="s">
        <v>23</v>
      </c>
      <c r="S201" s="5" t="str" cm="1">
        <f t="array" ref="S201:T201">_xlfn.TEXTSPLIT(R201, "/")</f>
        <v>music</v>
      </c>
      <c r="T201" s="5" t="str">
        <v>rock</v>
      </c>
    </row>
    <row r="202" spans="1:20" ht="19.5" x14ac:dyDescent="0.4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 s="4">
        <f t="shared" si="12"/>
        <v>2</v>
      </c>
      <c r="K202">
        <v>1269493200</v>
      </c>
      <c r="L202" s="5">
        <f t="shared" si="13"/>
        <v>2</v>
      </c>
      <c r="M202">
        <v>1270443600</v>
      </c>
      <c r="N202" s="9">
        <f t="shared" si="14"/>
        <v>40262.208333333336</v>
      </c>
      <c r="O202" s="9">
        <f t="shared" si="15"/>
        <v>40273.208333333336</v>
      </c>
      <c r="P202" t="b">
        <v>0</v>
      </c>
      <c r="Q202" t="b">
        <v>0</v>
      </c>
      <c r="R202" t="s">
        <v>33</v>
      </c>
      <c r="S202" s="5" t="str" cm="1">
        <f t="array" ref="S202:T202">_xlfn.TEXTSPLIT(R202, "/")</f>
        <v>theater</v>
      </c>
      <c r="T202" s="5" t="str">
        <v>plays</v>
      </c>
    </row>
    <row r="203" spans="1:20" ht="19.5" x14ac:dyDescent="0.4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 s="4">
        <f t="shared" si="12"/>
        <v>681.19047619047615</v>
      </c>
      <c r="K203">
        <v>1406264400</v>
      </c>
      <c r="L203" s="5">
        <f t="shared" si="13"/>
        <v>91.114649681528661</v>
      </c>
      <c r="M203">
        <v>1407819600</v>
      </c>
      <c r="N203" s="9">
        <f t="shared" si="14"/>
        <v>41845.208333333336</v>
      </c>
      <c r="O203" s="9">
        <f t="shared" si="15"/>
        <v>41863.208333333336</v>
      </c>
      <c r="P203" t="b">
        <v>0</v>
      </c>
      <c r="Q203" t="b">
        <v>0</v>
      </c>
      <c r="R203" t="s">
        <v>28</v>
      </c>
      <c r="S203" s="5" t="str" cm="1">
        <f t="array" ref="S203:T203">_xlfn.TEXTSPLIT(R203, "/")</f>
        <v>technology</v>
      </c>
      <c r="T203" s="5" t="str">
        <v>web</v>
      </c>
    </row>
    <row r="204" spans="1:20" ht="19.5" x14ac:dyDescent="0.4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 s="4">
        <f t="shared" si="12"/>
        <v>78.831325301204828</v>
      </c>
      <c r="K204">
        <v>1317531600</v>
      </c>
      <c r="L204" s="5">
        <f t="shared" si="13"/>
        <v>79.792682926829272</v>
      </c>
      <c r="M204">
        <v>1317877200</v>
      </c>
      <c r="N204" s="9">
        <f t="shared" si="14"/>
        <v>40818.208333333336</v>
      </c>
      <c r="O204" s="9">
        <f t="shared" si="15"/>
        <v>40822.208333333336</v>
      </c>
      <c r="P204" t="b">
        <v>0</v>
      </c>
      <c r="Q204" t="b">
        <v>0</v>
      </c>
      <c r="R204" t="s">
        <v>17</v>
      </c>
      <c r="S204" s="5" t="str" cm="1">
        <f t="array" ref="S204:T204">_xlfn.TEXTSPLIT(R204, "/")</f>
        <v>food</v>
      </c>
      <c r="T204" s="5" t="str">
        <v>food trucks</v>
      </c>
    </row>
    <row r="205" spans="1:20" ht="33.75" x14ac:dyDescent="0.4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 s="4">
        <f t="shared" si="12"/>
        <v>134.40792216817235</v>
      </c>
      <c r="K205">
        <v>1484632800</v>
      </c>
      <c r="L205" s="5">
        <f t="shared" si="13"/>
        <v>42.999777678968428</v>
      </c>
      <c r="M205">
        <v>1484805600</v>
      </c>
      <c r="N205" s="9">
        <f t="shared" si="14"/>
        <v>42752.25</v>
      </c>
      <c r="O205" s="9">
        <f t="shared" si="15"/>
        <v>42754.25</v>
      </c>
      <c r="P205" t="b">
        <v>0</v>
      </c>
      <c r="Q205" t="b">
        <v>0</v>
      </c>
      <c r="R205" t="s">
        <v>33</v>
      </c>
      <c r="S205" s="5" t="str" cm="1">
        <f t="array" ref="S205:T205">_xlfn.TEXTSPLIT(R205, "/")</f>
        <v>theater</v>
      </c>
      <c r="T205" s="5" t="str">
        <v>plays</v>
      </c>
    </row>
    <row r="206" spans="1:20" ht="19.5" x14ac:dyDescent="0.4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 s="4">
        <f t="shared" si="12"/>
        <v>3.3719999999999999</v>
      </c>
      <c r="K206">
        <v>1301806800</v>
      </c>
      <c r="L206" s="5">
        <f t="shared" si="13"/>
        <v>63.225000000000001</v>
      </c>
      <c r="M206">
        <v>1302670800</v>
      </c>
      <c r="N206" s="9">
        <f t="shared" si="14"/>
        <v>40636.208333333336</v>
      </c>
      <c r="O206" s="9">
        <f t="shared" si="15"/>
        <v>40646.208333333336</v>
      </c>
      <c r="P206" t="b">
        <v>0</v>
      </c>
      <c r="Q206" t="b">
        <v>0</v>
      </c>
      <c r="R206" t="s">
        <v>159</v>
      </c>
      <c r="S206" s="5" t="str" cm="1">
        <f t="array" ref="S206:T206">_xlfn.TEXTSPLIT(R206, "/")</f>
        <v>music</v>
      </c>
      <c r="T206" s="5" t="str">
        <v>jazz</v>
      </c>
    </row>
    <row r="207" spans="1:20" ht="19.5" x14ac:dyDescent="0.4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 s="4">
        <f t="shared" si="12"/>
        <v>431.84615384615387</v>
      </c>
      <c r="K207">
        <v>1539752400</v>
      </c>
      <c r="L207" s="5">
        <f t="shared" si="13"/>
        <v>70.174999999999997</v>
      </c>
      <c r="M207">
        <v>1540789200</v>
      </c>
      <c r="N207" s="9">
        <f t="shared" si="14"/>
        <v>43390.208333333328</v>
      </c>
      <c r="O207" s="9">
        <f t="shared" si="15"/>
        <v>43402.208333333328</v>
      </c>
      <c r="P207" t="b">
        <v>1</v>
      </c>
      <c r="Q207" t="b">
        <v>0</v>
      </c>
      <c r="R207" t="s">
        <v>33</v>
      </c>
      <c r="S207" s="5" t="str" cm="1">
        <f t="array" ref="S207:T207">_xlfn.TEXTSPLIT(R207, "/")</f>
        <v>theater</v>
      </c>
      <c r="T207" s="5" t="str">
        <v>plays</v>
      </c>
    </row>
    <row r="208" spans="1:20" ht="19.5" x14ac:dyDescent="0.4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 s="4">
        <f t="shared" si="12"/>
        <v>38.844444444444441</v>
      </c>
      <c r="K208">
        <v>1267250400</v>
      </c>
      <c r="L208" s="5">
        <f t="shared" si="13"/>
        <v>61.333333333333336</v>
      </c>
      <c r="M208">
        <v>1268028000</v>
      </c>
      <c r="N208" s="9">
        <f t="shared" si="14"/>
        <v>40236.25</v>
      </c>
      <c r="O208" s="9">
        <f t="shared" si="15"/>
        <v>40245.25</v>
      </c>
      <c r="P208" t="b">
        <v>0</v>
      </c>
      <c r="Q208" t="b">
        <v>0</v>
      </c>
      <c r="R208" t="s">
        <v>119</v>
      </c>
      <c r="S208" s="5" t="str" cm="1">
        <f t="array" ref="S208:T208">_xlfn.TEXTSPLIT(R208, "/")</f>
        <v>publishing</v>
      </c>
      <c r="T208" s="5" t="str">
        <v>fiction</v>
      </c>
    </row>
    <row r="209" spans="1:20" ht="33.75" x14ac:dyDescent="0.4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 s="4">
        <f t="shared" si="12"/>
        <v>425.7</v>
      </c>
      <c r="K209">
        <v>1535432400</v>
      </c>
      <c r="L209" s="5">
        <f t="shared" si="13"/>
        <v>99</v>
      </c>
      <c r="M209">
        <v>1537160400</v>
      </c>
      <c r="N209" s="9">
        <f t="shared" si="14"/>
        <v>43340.208333333328</v>
      </c>
      <c r="O209" s="9">
        <f t="shared" si="15"/>
        <v>43360.208333333328</v>
      </c>
      <c r="P209" t="b">
        <v>0</v>
      </c>
      <c r="Q209" t="b">
        <v>1</v>
      </c>
      <c r="R209" t="s">
        <v>23</v>
      </c>
      <c r="S209" s="5" t="str" cm="1">
        <f t="array" ref="S209:T209">_xlfn.TEXTSPLIT(R209, "/")</f>
        <v>music</v>
      </c>
      <c r="T209" s="5" t="str">
        <v>rock</v>
      </c>
    </row>
    <row r="210" spans="1:20" ht="19.5" x14ac:dyDescent="0.4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 s="4">
        <f t="shared" si="12"/>
        <v>101.12239715591672</v>
      </c>
      <c r="K210">
        <v>1510207200</v>
      </c>
      <c r="L210" s="5">
        <f t="shared" si="13"/>
        <v>96.984900146127615</v>
      </c>
      <c r="M210">
        <v>1512280800</v>
      </c>
      <c r="N210" s="9">
        <f t="shared" si="14"/>
        <v>43048.25</v>
      </c>
      <c r="O210" s="9">
        <f t="shared" si="15"/>
        <v>43072.25</v>
      </c>
      <c r="P210" t="b">
        <v>0</v>
      </c>
      <c r="Q210" t="b">
        <v>0</v>
      </c>
      <c r="R210" t="s">
        <v>42</v>
      </c>
      <c r="S210" s="5" t="str" cm="1">
        <f t="array" ref="S210:T210">_xlfn.TEXTSPLIT(R210, "/")</f>
        <v>film &amp; video</v>
      </c>
      <c r="T210" s="5" t="str">
        <v>documentary</v>
      </c>
    </row>
    <row r="211" spans="1:20" ht="19.5" x14ac:dyDescent="0.4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 s="4">
        <f t="shared" si="12"/>
        <v>21.188688946015425</v>
      </c>
      <c r="K211">
        <v>1462510800</v>
      </c>
      <c r="L211" s="5">
        <f t="shared" si="13"/>
        <v>51.004950495049506</v>
      </c>
      <c r="M211">
        <v>1463115600</v>
      </c>
      <c r="N211" s="9">
        <f t="shared" si="14"/>
        <v>42496.208333333328</v>
      </c>
      <c r="O211" s="9">
        <f t="shared" si="15"/>
        <v>42503.208333333328</v>
      </c>
      <c r="P211" t="b">
        <v>0</v>
      </c>
      <c r="Q211" t="b">
        <v>0</v>
      </c>
      <c r="R211" t="s">
        <v>42</v>
      </c>
      <c r="S211" s="5" t="str" cm="1">
        <f t="array" ref="S211:T211">_xlfn.TEXTSPLIT(R211, "/")</f>
        <v>film &amp; video</v>
      </c>
      <c r="T211" s="5" t="str">
        <v>documentary</v>
      </c>
    </row>
    <row r="212" spans="1:20" ht="19.5" x14ac:dyDescent="0.4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 s="4">
        <f t="shared" si="12"/>
        <v>67.425531914893625</v>
      </c>
      <c r="K212">
        <v>1488520800</v>
      </c>
      <c r="L212" s="5">
        <f t="shared" si="13"/>
        <v>28.044247787610619</v>
      </c>
      <c r="M212">
        <v>1490850000</v>
      </c>
      <c r="N212" s="9">
        <f t="shared" si="14"/>
        <v>42797.25</v>
      </c>
      <c r="O212" s="9">
        <f t="shared" si="15"/>
        <v>42824.208333333328</v>
      </c>
      <c r="P212" t="b">
        <v>0</v>
      </c>
      <c r="Q212" t="b">
        <v>0</v>
      </c>
      <c r="R212" t="s">
        <v>474</v>
      </c>
      <c r="S212" s="5" t="str" cm="1">
        <f t="array" ref="S212:T212">_xlfn.TEXTSPLIT(R212, "/")</f>
        <v>film &amp; video</v>
      </c>
      <c r="T212" s="5" t="str">
        <v>science fiction</v>
      </c>
    </row>
    <row r="213" spans="1:20" ht="33.75" x14ac:dyDescent="0.4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 s="4">
        <f t="shared" si="12"/>
        <v>94.923371647509583</v>
      </c>
      <c r="K213">
        <v>1377579600</v>
      </c>
      <c r="L213" s="5">
        <f t="shared" si="13"/>
        <v>60.984615384615381</v>
      </c>
      <c r="M213">
        <v>1379653200</v>
      </c>
      <c r="N213" s="9">
        <f t="shared" si="14"/>
        <v>41513.208333333336</v>
      </c>
      <c r="O213" s="9">
        <f t="shared" si="15"/>
        <v>41537.208333333336</v>
      </c>
      <c r="P213" t="b">
        <v>0</v>
      </c>
      <c r="Q213" t="b">
        <v>0</v>
      </c>
      <c r="R213" t="s">
        <v>33</v>
      </c>
      <c r="S213" s="5" t="str" cm="1">
        <f t="array" ref="S213:T213">_xlfn.TEXTSPLIT(R213, "/")</f>
        <v>theater</v>
      </c>
      <c r="T213" s="5" t="str">
        <v>plays</v>
      </c>
    </row>
    <row r="214" spans="1:20" ht="19.5" x14ac:dyDescent="0.4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 s="4">
        <f t="shared" si="12"/>
        <v>151.85185185185185</v>
      </c>
      <c r="K214">
        <v>1576389600</v>
      </c>
      <c r="L214" s="5">
        <f t="shared" si="13"/>
        <v>73.214285714285708</v>
      </c>
      <c r="M214">
        <v>1580364000</v>
      </c>
      <c r="N214" s="9">
        <f t="shared" si="14"/>
        <v>43814.25</v>
      </c>
      <c r="O214" s="9">
        <f t="shared" si="15"/>
        <v>43860.25</v>
      </c>
      <c r="P214" t="b">
        <v>0</v>
      </c>
      <c r="Q214" t="b">
        <v>0</v>
      </c>
      <c r="R214" t="s">
        <v>33</v>
      </c>
      <c r="S214" s="5" t="str" cm="1">
        <f t="array" ref="S214:T214">_xlfn.TEXTSPLIT(R214, "/")</f>
        <v>theater</v>
      </c>
      <c r="T214" s="5" t="str">
        <v>plays</v>
      </c>
    </row>
    <row r="215" spans="1:20" ht="33.75" x14ac:dyDescent="0.4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 s="4">
        <f t="shared" si="12"/>
        <v>195.16382252559728</v>
      </c>
      <c r="K215">
        <v>1289019600</v>
      </c>
      <c r="L215" s="5">
        <f t="shared" si="13"/>
        <v>39.997435299603637</v>
      </c>
      <c r="M215">
        <v>1289714400</v>
      </c>
      <c r="N215" s="9">
        <f t="shared" si="14"/>
        <v>40488.208333333336</v>
      </c>
      <c r="O215" s="9">
        <f t="shared" si="15"/>
        <v>40496.25</v>
      </c>
      <c r="P215" t="b">
        <v>0</v>
      </c>
      <c r="Q215" t="b">
        <v>1</v>
      </c>
      <c r="R215" t="s">
        <v>60</v>
      </c>
      <c r="S215" s="5" t="str" cm="1">
        <f t="array" ref="S215:T215">_xlfn.TEXTSPLIT(R215, "/")</f>
        <v>music</v>
      </c>
      <c r="T215" s="5" t="str">
        <v>indie rock</v>
      </c>
    </row>
    <row r="216" spans="1:20" ht="19.5" x14ac:dyDescent="0.4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 s="4">
        <f t="shared" si="12"/>
        <v>1023.1428571428571</v>
      </c>
      <c r="K216">
        <v>1282194000</v>
      </c>
      <c r="L216" s="5">
        <f t="shared" si="13"/>
        <v>86.812121212121212</v>
      </c>
      <c r="M216">
        <v>1282712400</v>
      </c>
      <c r="N216" s="9">
        <f t="shared" si="14"/>
        <v>40409.208333333336</v>
      </c>
      <c r="O216" s="9">
        <f t="shared" si="15"/>
        <v>40415.208333333336</v>
      </c>
      <c r="P216" t="b">
        <v>0</v>
      </c>
      <c r="Q216" t="b">
        <v>0</v>
      </c>
      <c r="R216" t="s">
        <v>23</v>
      </c>
      <c r="S216" s="5" t="str" cm="1">
        <f t="array" ref="S216:T216">_xlfn.TEXTSPLIT(R216, "/")</f>
        <v>music</v>
      </c>
      <c r="T216" s="5" t="str">
        <v>rock</v>
      </c>
    </row>
    <row r="217" spans="1:20" ht="19.5" x14ac:dyDescent="0.4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 s="4">
        <f t="shared" si="12"/>
        <v>3.841836734693878</v>
      </c>
      <c r="K217">
        <v>1550037600</v>
      </c>
      <c r="L217" s="5">
        <f t="shared" si="13"/>
        <v>42.125874125874127</v>
      </c>
      <c r="M217">
        <v>1550210400</v>
      </c>
      <c r="N217" s="9">
        <f t="shared" si="14"/>
        <v>43509.25</v>
      </c>
      <c r="O217" s="9">
        <f t="shared" si="15"/>
        <v>43511.25</v>
      </c>
      <c r="P217" t="b">
        <v>0</v>
      </c>
      <c r="Q217" t="b">
        <v>0</v>
      </c>
      <c r="R217" t="s">
        <v>33</v>
      </c>
      <c r="S217" s="5" t="str" cm="1">
        <f t="array" ref="S217:T217">_xlfn.TEXTSPLIT(R217, "/")</f>
        <v>theater</v>
      </c>
      <c r="T217" s="5" t="str">
        <v>plays</v>
      </c>
    </row>
    <row r="218" spans="1:20" ht="19.5" x14ac:dyDescent="0.4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 s="4">
        <f t="shared" si="12"/>
        <v>155.07066557107643</v>
      </c>
      <c r="K218">
        <v>1321941600</v>
      </c>
      <c r="L218" s="5">
        <f t="shared" si="13"/>
        <v>103.97851239669421</v>
      </c>
      <c r="M218">
        <v>1322114400</v>
      </c>
      <c r="N218" s="9">
        <f t="shared" si="14"/>
        <v>40869.25</v>
      </c>
      <c r="O218" s="9">
        <f t="shared" si="15"/>
        <v>40871.25</v>
      </c>
      <c r="P218" t="b">
        <v>0</v>
      </c>
      <c r="Q218" t="b">
        <v>0</v>
      </c>
      <c r="R218" t="s">
        <v>33</v>
      </c>
      <c r="S218" s="5" t="str" cm="1">
        <f t="array" ref="S218:T218">_xlfn.TEXTSPLIT(R218, "/")</f>
        <v>theater</v>
      </c>
      <c r="T218" s="5" t="str">
        <v>plays</v>
      </c>
    </row>
    <row r="219" spans="1:20" ht="19.5" x14ac:dyDescent="0.4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 s="4">
        <f t="shared" si="12"/>
        <v>44.753477588871718</v>
      </c>
      <c r="K219">
        <v>1556427600</v>
      </c>
      <c r="L219" s="5">
        <f t="shared" si="13"/>
        <v>62.003211991434689</v>
      </c>
      <c r="M219">
        <v>1557205200</v>
      </c>
      <c r="N219" s="9">
        <f t="shared" si="14"/>
        <v>43583.208333333328</v>
      </c>
      <c r="O219" s="9">
        <f t="shared" si="15"/>
        <v>43592.208333333328</v>
      </c>
      <c r="P219" t="b">
        <v>0</v>
      </c>
      <c r="Q219" t="b">
        <v>0</v>
      </c>
      <c r="R219" t="s">
        <v>474</v>
      </c>
      <c r="S219" s="5" t="str" cm="1">
        <f t="array" ref="S219:T219">_xlfn.TEXTSPLIT(R219, "/")</f>
        <v>film &amp; video</v>
      </c>
      <c r="T219" s="5" t="str">
        <v>science fiction</v>
      </c>
    </row>
    <row r="220" spans="1:20" ht="19.5" x14ac:dyDescent="0.4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 s="4">
        <f t="shared" si="12"/>
        <v>215.94736842105263</v>
      </c>
      <c r="K220">
        <v>1320991200</v>
      </c>
      <c r="L220" s="5">
        <f t="shared" si="13"/>
        <v>31.005037783375315</v>
      </c>
      <c r="M220">
        <v>1323928800</v>
      </c>
      <c r="N220" s="9">
        <f t="shared" si="14"/>
        <v>40858.25</v>
      </c>
      <c r="O220" s="9">
        <f t="shared" si="15"/>
        <v>40892.25</v>
      </c>
      <c r="P220" t="b">
        <v>0</v>
      </c>
      <c r="Q220" t="b">
        <v>1</v>
      </c>
      <c r="R220" t="s">
        <v>100</v>
      </c>
      <c r="S220" s="5" t="str" cm="1">
        <f t="array" ref="S220:T220">_xlfn.TEXTSPLIT(R220, "/")</f>
        <v>film &amp; video</v>
      </c>
      <c r="T220" s="5" t="str">
        <v>shorts</v>
      </c>
    </row>
    <row r="221" spans="1:20" ht="19.5" x14ac:dyDescent="0.4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 s="4">
        <f t="shared" si="12"/>
        <v>332.12709832134288</v>
      </c>
      <c r="K221">
        <v>1345093200</v>
      </c>
      <c r="L221" s="5">
        <f t="shared" si="13"/>
        <v>89.991552956465242</v>
      </c>
      <c r="M221">
        <v>1346130000</v>
      </c>
      <c r="N221" s="9">
        <f t="shared" si="14"/>
        <v>41137.208333333336</v>
      </c>
      <c r="O221" s="9">
        <f t="shared" si="15"/>
        <v>41149.208333333336</v>
      </c>
      <c r="P221" t="b">
        <v>0</v>
      </c>
      <c r="Q221" t="b">
        <v>0</v>
      </c>
      <c r="R221" t="s">
        <v>71</v>
      </c>
      <c r="S221" s="5" t="str" cm="1">
        <f t="array" ref="S221:T221">_xlfn.TEXTSPLIT(R221, "/")</f>
        <v>film &amp; video</v>
      </c>
      <c r="T221" s="5" t="str">
        <v>animation</v>
      </c>
    </row>
    <row r="222" spans="1:20" ht="19.5" x14ac:dyDescent="0.4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 s="4">
        <f t="shared" si="12"/>
        <v>8.4430379746835449</v>
      </c>
      <c r="K222">
        <v>1309496400</v>
      </c>
      <c r="L222" s="5">
        <f t="shared" si="13"/>
        <v>39.235294117647058</v>
      </c>
      <c r="M222">
        <v>1311051600</v>
      </c>
      <c r="N222" s="9">
        <f t="shared" si="14"/>
        <v>40725.208333333336</v>
      </c>
      <c r="O222" s="9">
        <f t="shared" si="15"/>
        <v>40743.208333333336</v>
      </c>
      <c r="P222" t="b">
        <v>1</v>
      </c>
      <c r="Q222" t="b">
        <v>0</v>
      </c>
      <c r="R222" t="s">
        <v>33</v>
      </c>
      <c r="S222" s="5" t="str" cm="1">
        <f t="array" ref="S222:T222">_xlfn.TEXTSPLIT(R222, "/")</f>
        <v>theater</v>
      </c>
      <c r="T222" s="5" t="str">
        <v>plays</v>
      </c>
    </row>
    <row r="223" spans="1:20" ht="33.75" x14ac:dyDescent="0.4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 s="4">
        <f t="shared" si="12"/>
        <v>98.625514403292186</v>
      </c>
      <c r="K223">
        <v>1340254800</v>
      </c>
      <c r="L223" s="5">
        <f t="shared" si="13"/>
        <v>54.993116108306566</v>
      </c>
      <c r="M223">
        <v>1340427600</v>
      </c>
      <c r="N223" s="9">
        <f t="shared" si="14"/>
        <v>41081.208333333336</v>
      </c>
      <c r="O223" s="9">
        <f t="shared" si="15"/>
        <v>41083.208333333336</v>
      </c>
      <c r="P223" t="b">
        <v>1</v>
      </c>
      <c r="Q223" t="b">
        <v>0</v>
      </c>
      <c r="R223" t="s">
        <v>17</v>
      </c>
      <c r="S223" s="5" t="str" cm="1">
        <f t="array" ref="S223:T223">_xlfn.TEXTSPLIT(R223, "/")</f>
        <v>food</v>
      </c>
      <c r="T223" s="5" t="str">
        <v>food trucks</v>
      </c>
    </row>
    <row r="224" spans="1:20" ht="19.5" x14ac:dyDescent="0.4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 s="4">
        <f t="shared" si="12"/>
        <v>137.97916666666669</v>
      </c>
      <c r="K224">
        <v>1412226000</v>
      </c>
      <c r="L224" s="5">
        <f t="shared" si="13"/>
        <v>47.992753623188406</v>
      </c>
      <c r="M224">
        <v>1412312400</v>
      </c>
      <c r="N224" s="9">
        <f t="shared" si="14"/>
        <v>41914.208333333336</v>
      </c>
      <c r="O224" s="9">
        <f t="shared" si="15"/>
        <v>41915.208333333336</v>
      </c>
      <c r="P224" t="b">
        <v>0</v>
      </c>
      <c r="Q224" t="b">
        <v>0</v>
      </c>
      <c r="R224" t="s">
        <v>122</v>
      </c>
      <c r="S224" s="5" t="str" cm="1">
        <f t="array" ref="S224:T224">_xlfn.TEXTSPLIT(R224, "/")</f>
        <v>photography</v>
      </c>
      <c r="T224" s="5" t="str">
        <v>photography books</v>
      </c>
    </row>
    <row r="225" spans="1:20" ht="19.5" x14ac:dyDescent="0.4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 s="4">
        <f t="shared" si="12"/>
        <v>93.81099656357388</v>
      </c>
      <c r="K225">
        <v>1458104400</v>
      </c>
      <c r="L225" s="5">
        <f t="shared" si="13"/>
        <v>87.966702470461868</v>
      </c>
      <c r="M225">
        <v>1459314000</v>
      </c>
      <c r="N225" s="9">
        <f t="shared" si="14"/>
        <v>42445.208333333328</v>
      </c>
      <c r="O225" s="9">
        <f t="shared" si="15"/>
        <v>42459.208333333328</v>
      </c>
      <c r="P225" t="b">
        <v>0</v>
      </c>
      <c r="Q225" t="b">
        <v>0</v>
      </c>
      <c r="R225" t="s">
        <v>33</v>
      </c>
      <c r="S225" s="5" t="str" cm="1">
        <f t="array" ref="S225:T225">_xlfn.TEXTSPLIT(R225, "/")</f>
        <v>theater</v>
      </c>
      <c r="T225" s="5" t="str">
        <v>plays</v>
      </c>
    </row>
    <row r="226" spans="1:20" ht="19.5" x14ac:dyDescent="0.4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 s="4">
        <f t="shared" si="12"/>
        <v>403.63930885529157</v>
      </c>
      <c r="K226">
        <v>1411534800</v>
      </c>
      <c r="L226" s="5">
        <f t="shared" si="13"/>
        <v>51.999165275459099</v>
      </c>
      <c r="M226">
        <v>1415426400</v>
      </c>
      <c r="N226" s="9">
        <f t="shared" si="14"/>
        <v>41906.208333333336</v>
      </c>
      <c r="O226" s="9">
        <f t="shared" si="15"/>
        <v>41951.25</v>
      </c>
      <c r="P226" t="b">
        <v>0</v>
      </c>
      <c r="Q226" t="b">
        <v>0</v>
      </c>
      <c r="R226" t="s">
        <v>474</v>
      </c>
      <c r="S226" s="5" t="str" cm="1">
        <f t="array" ref="S226:T226">_xlfn.TEXTSPLIT(R226, "/")</f>
        <v>film &amp; video</v>
      </c>
      <c r="T226" s="5" t="str">
        <v>science fiction</v>
      </c>
    </row>
    <row r="227" spans="1:20" ht="19.5" x14ac:dyDescent="0.4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 s="4">
        <f t="shared" si="12"/>
        <v>260.1740412979351</v>
      </c>
      <c r="K227">
        <v>1399093200</v>
      </c>
      <c r="L227" s="5">
        <f t="shared" si="13"/>
        <v>29.999659863945578</v>
      </c>
      <c r="M227">
        <v>1399093200</v>
      </c>
      <c r="N227" s="9">
        <f t="shared" si="14"/>
        <v>41762.208333333336</v>
      </c>
      <c r="O227" s="9">
        <f t="shared" si="15"/>
        <v>41762.208333333336</v>
      </c>
      <c r="P227" t="b">
        <v>1</v>
      </c>
      <c r="Q227" t="b">
        <v>0</v>
      </c>
      <c r="R227" t="s">
        <v>23</v>
      </c>
      <c r="S227" s="5" t="str" cm="1">
        <f t="array" ref="S227:T227">_xlfn.TEXTSPLIT(R227, "/")</f>
        <v>music</v>
      </c>
      <c r="T227" s="5" t="str">
        <v>rock</v>
      </c>
    </row>
    <row r="228" spans="1:20" ht="19.5" x14ac:dyDescent="0.4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 s="4">
        <f t="shared" si="12"/>
        <v>366.63333333333333</v>
      </c>
      <c r="K228">
        <v>1270702800</v>
      </c>
      <c r="L228" s="5">
        <f t="shared" si="13"/>
        <v>98.205357142857139</v>
      </c>
      <c r="M228">
        <v>1273899600</v>
      </c>
      <c r="N228" s="9">
        <f t="shared" si="14"/>
        <v>40276.208333333336</v>
      </c>
      <c r="O228" s="9">
        <f t="shared" si="15"/>
        <v>40313.208333333336</v>
      </c>
      <c r="P228" t="b">
        <v>0</v>
      </c>
      <c r="Q228" t="b">
        <v>0</v>
      </c>
      <c r="R228" t="s">
        <v>122</v>
      </c>
      <c r="S228" s="5" t="str" cm="1">
        <f t="array" ref="S228:T228">_xlfn.TEXTSPLIT(R228, "/")</f>
        <v>photography</v>
      </c>
      <c r="T228" s="5" t="str">
        <v>photography books</v>
      </c>
    </row>
    <row r="229" spans="1:20" ht="19.5" x14ac:dyDescent="0.4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 s="4">
        <f t="shared" si="12"/>
        <v>168.72085385878489</v>
      </c>
      <c r="K229">
        <v>1431666000</v>
      </c>
      <c r="L229" s="5">
        <f t="shared" si="13"/>
        <v>108.96182396606575</v>
      </c>
      <c r="M229">
        <v>1432184400</v>
      </c>
      <c r="N229" s="9">
        <f t="shared" si="14"/>
        <v>42139.208333333328</v>
      </c>
      <c r="O229" s="9">
        <f t="shared" si="15"/>
        <v>42145.208333333328</v>
      </c>
      <c r="P229" t="b">
        <v>0</v>
      </c>
      <c r="Q229" t="b">
        <v>0</v>
      </c>
      <c r="R229" t="s">
        <v>292</v>
      </c>
      <c r="S229" s="5" t="str" cm="1">
        <f t="array" ref="S229:T229">_xlfn.TEXTSPLIT(R229, "/")</f>
        <v>games</v>
      </c>
      <c r="T229" s="5" t="str">
        <v>mobile games</v>
      </c>
    </row>
    <row r="230" spans="1:20" ht="19.5" x14ac:dyDescent="0.4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 s="4">
        <f t="shared" si="12"/>
        <v>119.90717911530093</v>
      </c>
      <c r="K230">
        <v>1472619600</v>
      </c>
      <c r="L230" s="5">
        <f t="shared" si="13"/>
        <v>66.998379254457049</v>
      </c>
      <c r="M230">
        <v>1474779600</v>
      </c>
      <c r="N230" s="9">
        <f t="shared" si="14"/>
        <v>42613.208333333328</v>
      </c>
      <c r="O230" s="9">
        <f t="shared" si="15"/>
        <v>42638.208333333328</v>
      </c>
      <c r="P230" t="b">
        <v>0</v>
      </c>
      <c r="Q230" t="b">
        <v>0</v>
      </c>
      <c r="R230" t="s">
        <v>71</v>
      </c>
      <c r="S230" s="5" t="str" cm="1">
        <f t="array" ref="S230:T230">_xlfn.TEXTSPLIT(R230, "/")</f>
        <v>film &amp; video</v>
      </c>
      <c r="T230" s="5" t="str">
        <v>animation</v>
      </c>
    </row>
    <row r="231" spans="1:20" ht="19.5" x14ac:dyDescent="0.4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 s="4">
        <f t="shared" si="12"/>
        <v>193.68925233644859</v>
      </c>
      <c r="K231">
        <v>1496293200</v>
      </c>
      <c r="L231" s="5">
        <f t="shared" si="13"/>
        <v>64.99333594668758</v>
      </c>
      <c r="M231">
        <v>1500440400</v>
      </c>
      <c r="N231" s="9">
        <f t="shared" si="14"/>
        <v>42887.208333333328</v>
      </c>
      <c r="O231" s="9">
        <f t="shared" si="15"/>
        <v>42935.208333333328</v>
      </c>
      <c r="P231" t="b">
        <v>0</v>
      </c>
      <c r="Q231" t="b">
        <v>1</v>
      </c>
      <c r="R231" t="s">
        <v>292</v>
      </c>
      <c r="S231" s="5" t="str" cm="1">
        <f t="array" ref="S231:T231">_xlfn.TEXTSPLIT(R231, "/")</f>
        <v>games</v>
      </c>
      <c r="T231" s="5" t="str">
        <v>mobile games</v>
      </c>
    </row>
    <row r="232" spans="1:20" ht="19.5" x14ac:dyDescent="0.4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 s="4">
        <f t="shared" si="12"/>
        <v>420.16666666666669</v>
      </c>
      <c r="K232">
        <v>1575612000</v>
      </c>
      <c r="L232" s="5">
        <f t="shared" si="13"/>
        <v>99.841584158415841</v>
      </c>
      <c r="M232">
        <v>1575612000</v>
      </c>
      <c r="N232" s="9">
        <f t="shared" si="14"/>
        <v>43805.25</v>
      </c>
      <c r="O232" s="9">
        <f t="shared" si="15"/>
        <v>43805.25</v>
      </c>
      <c r="P232" t="b">
        <v>0</v>
      </c>
      <c r="Q232" t="b">
        <v>0</v>
      </c>
      <c r="R232" t="s">
        <v>89</v>
      </c>
      <c r="S232" s="5" t="str" cm="1">
        <f t="array" ref="S232:T232">_xlfn.TEXTSPLIT(R232, "/")</f>
        <v>games</v>
      </c>
      <c r="T232" s="5" t="str">
        <v>video games</v>
      </c>
    </row>
    <row r="233" spans="1:20" ht="19.5" x14ac:dyDescent="0.4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 s="4">
        <f t="shared" si="12"/>
        <v>76.708333333333329</v>
      </c>
      <c r="K233">
        <v>1369112400</v>
      </c>
      <c r="L233" s="5">
        <f t="shared" si="13"/>
        <v>82.432835820895519</v>
      </c>
      <c r="M233">
        <v>1374123600</v>
      </c>
      <c r="N233" s="9">
        <f t="shared" si="14"/>
        <v>41415.208333333336</v>
      </c>
      <c r="O233" s="9">
        <f t="shared" si="15"/>
        <v>41473.208333333336</v>
      </c>
      <c r="P233" t="b">
        <v>0</v>
      </c>
      <c r="Q233" t="b">
        <v>0</v>
      </c>
      <c r="R233" t="s">
        <v>33</v>
      </c>
      <c r="S233" s="5" t="str" cm="1">
        <f t="array" ref="S233:T233">_xlfn.TEXTSPLIT(R233, "/")</f>
        <v>theater</v>
      </c>
      <c r="T233" s="5" t="str">
        <v>plays</v>
      </c>
    </row>
    <row r="234" spans="1:20" ht="19.5" x14ac:dyDescent="0.4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 s="4">
        <f t="shared" si="12"/>
        <v>171.26470588235293</v>
      </c>
      <c r="K234">
        <v>1469422800</v>
      </c>
      <c r="L234" s="5">
        <f t="shared" si="13"/>
        <v>63.293478260869563</v>
      </c>
      <c r="M234">
        <v>1469509200</v>
      </c>
      <c r="N234" s="9">
        <f t="shared" si="14"/>
        <v>42576.208333333328</v>
      </c>
      <c r="O234" s="9">
        <f t="shared" si="15"/>
        <v>42577.208333333328</v>
      </c>
      <c r="P234" t="b">
        <v>0</v>
      </c>
      <c r="Q234" t="b">
        <v>0</v>
      </c>
      <c r="R234" t="s">
        <v>33</v>
      </c>
      <c r="S234" s="5" t="str" cm="1">
        <f t="array" ref="S234:T234">_xlfn.TEXTSPLIT(R234, "/")</f>
        <v>theater</v>
      </c>
      <c r="T234" s="5" t="str">
        <v>plays</v>
      </c>
    </row>
    <row r="235" spans="1:20" ht="19.5" x14ac:dyDescent="0.4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 s="4">
        <f t="shared" si="12"/>
        <v>157.89473684210526</v>
      </c>
      <c r="K235">
        <v>1307854800</v>
      </c>
      <c r="L235" s="5">
        <f t="shared" si="13"/>
        <v>96.774193548387103</v>
      </c>
      <c r="M235">
        <v>1309237200</v>
      </c>
      <c r="N235" s="9">
        <f t="shared" si="14"/>
        <v>40706.208333333336</v>
      </c>
      <c r="O235" s="9">
        <f t="shared" si="15"/>
        <v>40722.208333333336</v>
      </c>
      <c r="P235" t="b">
        <v>0</v>
      </c>
      <c r="Q235" t="b">
        <v>0</v>
      </c>
      <c r="R235" t="s">
        <v>71</v>
      </c>
      <c r="S235" s="5" t="str" cm="1">
        <f t="array" ref="S235:T235">_xlfn.TEXTSPLIT(R235, "/")</f>
        <v>film &amp; video</v>
      </c>
      <c r="T235" s="5" t="str">
        <v>animation</v>
      </c>
    </row>
    <row r="236" spans="1:20" ht="19.5" x14ac:dyDescent="0.4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 s="4">
        <f t="shared" si="12"/>
        <v>109.08</v>
      </c>
      <c r="K236">
        <v>1503378000</v>
      </c>
      <c r="L236" s="5">
        <f t="shared" si="13"/>
        <v>54.906040268456373</v>
      </c>
      <c r="M236">
        <v>1503982800</v>
      </c>
      <c r="N236" s="9">
        <f t="shared" si="14"/>
        <v>42969.208333333328</v>
      </c>
      <c r="O236" s="9">
        <f t="shared" si="15"/>
        <v>42976.208333333328</v>
      </c>
      <c r="P236" t="b">
        <v>0</v>
      </c>
      <c r="Q236" t="b">
        <v>1</v>
      </c>
      <c r="R236" t="s">
        <v>89</v>
      </c>
      <c r="S236" s="5" t="str" cm="1">
        <f t="array" ref="S236:T236">_xlfn.TEXTSPLIT(R236, "/")</f>
        <v>games</v>
      </c>
      <c r="T236" s="5" t="str">
        <v>video games</v>
      </c>
    </row>
    <row r="237" spans="1:20" ht="33.75" x14ac:dyDescent="0.4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 s="4">
        <f t="shared" si="12"/>
        <v>41.732558139534881</v>
      </c>
      <c r="K237">
        <v>1486965600</v>
      </c>
      <c r="L237" s="5">
        <f t="shared" si="13"/>
        <v>39.010869565217391</v>
      </c>
      <c r="M237">
        <v>1487397600</v>
      </c>
      <c r="N237" s="9">
        <f t="shared" si="14"/>
        <v>42779.25</v>
      </c>
      <c r="O237" s="9">
        <f t="shared" si="15"/>
        <v>42784.25</v>
      </c>
      <c r="P237" t="b">
        <v>0</v>
      </c>
      <c r="Q237" t="b">
        <v>0</v>
      </c>
      <c r="R237" t="s">
        <v>71</v>
      </c>
      <c r="S237" s="5" t="str" cm="1">
        <f t="array" ref="S237:T237">_xlfn.TEXTSPLIT(R237, "/")</f>
        <v>film &amp; video</v>
      </c>
      <c r="T237" s="5" t="str">
        <v>animation</v>
      </c>
    </row>
    <row r="238" spans="1:20" ht="19.5" x14ac:dyDescent="0.4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 s="4">
        <f t="shared" si="12"/>
        <v>10.944303797468354</v>
      </c>
      <c r="K238">
        <v>1561438800</v>
      </c>
      <c r="L238" s="5">
        <f t="shared" si="13"/>
        <v>75.84210526315789</v>
      </c>
      <c r="M238">
        <v>1562043600</v>
      </c>
      <c r="N238" s="9">
        <f t="shared" si="14"/>
        <v>43641.208333333328</v>
      </c>
      <c r="O238" s="9">
        <f t="shared" si="15"/>
        <v>43648.208333333328</v>
      </c>
      <c r="P238" t="b">
        <v>0</v>
      </c>
      <c r="Q238" t="b">
        <v>1</v>
      </c>
      <c r="R238" t="s">
        <v>23</v>
      </c>
      <c r="S238" s="5" t="str" cm="1">
        <f t="array" ref="S238:T238">_xlfn.TEXTSPLIT(R238, "/")</f>
        <v>music</v>
      </c>
      <c r="T238" s="5" t="str">
        <v>rock</v>
      </c>
    </row>
    <row r="239" spans="1:20" ht="33.75" x14ac:dyDescent="0.4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 s="4">
        <f t="shared" si="12"/>
        <v>159.3763440860215</v>
      </c>
      <c r="K239">
        <v>1398402000</v>
      </c>
      <c r="L239" s="5">
        <f t="shared" si="13"/>
        <v>45.051671732522799</v>
      </c>
      <c r="M239">
        <v>1398574800</v>
      </c>
      <c r="N239" s="9">
        <f t="shared" si="14"/>
        <v>41754.208333333336</v>
      </c>
      <c r="O239" s="9">
        <f t="shared" si="15"/>
        <v>41756.208333333336</v>
      </c>
      <c r="P239" t="b">
        <v>0</v>
      </c>
      <c r="Q239" t="b">
        <v>0</v>
      </c>
      <c r="R239" t="s">
        <v>71</v>
      </c>
      <c r="S239" s="5" t="str" cm="1">
        <f t="array" ref="S239:T239">_xlfn.TEXTSPLIT(R239, "/")</f>
        <v>film &amp; video</v>
      </c>
      <c r="T239" s="5" t="str">
        <v>animation</v>
      </c>
    </row>
    <row r="240" spans="1:20" ht="19.5" x14ac:dyDescent="0.4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 s="4">
        <f t="shared" si="12"/>
        <v>422.41666666666669</v>
      </c>
      <c r="K240">
        <v>1513231200</v>
      </c>
      <c r="L240" s="5">
        <f t="shared" si="13"/>
        <v>104.51546391752578</v>
      </c>
      <c r="M240">
        <v>1515391200</v>
      </c>
      <c r="N240" s="9">
        <f t="shared" si="14"/>
        <v>43083.25</v>
      </c>
      <c r="O240" s="9">
        <f t="shared" si="15"/>
        <v>43108.25</v>
      </c>
      <c r="P240" t="b">
        <v>0</v>
      </c>
      <c r="Q240" t="b">
        <v>1</v>
      </c>
      <c r="R240" t="s">
        <v>33</v>
      </c>
      <c r="S240" s="5" t="str" cm="1">
        <f t="array" ref="S240:T240">_xlfn.TEXTSPLIT(R240, "/")</f>
        <v>theater</v>
      </c>
      <c r="T240" s="5" t="str">
        <v>plays</v>
      </c>
    </row>
    <row r="241" spans="1:20" ht="19.5" x14ac:dyDescent="0.4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 s="4">
        <f t="shared" si="12"/>
        <v>97.71875</v>
      </c>
      <c r="K241">
        <v>1440824400</v>
      </c>
      <c r="L241" s="5">
        <f t="shared" si="13"/>
        <v>76.268292682926827</v>
      </c>
      <c r="M241">
        <v>1441170000</v>
      </c>
      <c r="N241" s="9">
        <f t="shared" si="14"/>
        <v>42245.208333333328</v>
      </c>
      <c r="O241" s="9">
        <f t="shared" si="15"/>
        <v>42249.208333333328</v>
      </c>
      <c r="P241" t="b">
        <v>0</v>
      </c>
      <c r="Q241" t="b">
        <v>0</v>
      </c>
      <c r="R241" t="s">
        <v>65</v>
      </c>
      <c r="S241" s="5" t="str" cm="1">
        <f t="array" ref="S241:T241">_xlfn.TEXTSPLIT(R241, "/")</f>
        <v>technology</v>
      </c>
      <c r="T241" s="5" t="str">
        <v>wearables</v>
      </c>
    </row>
    <row r="242" spans="1:20" ht="19.5" x14ac:dyDescent="0.4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 s="4">
        <f t="shared" si="12"/>
        <v>418.78911564625849</v>
      </c>
      <c r="K242">
        <v>1281070800</v>
      </c>
      <c r="L242" s="5">
        <f t="shared" si="13"/>
        <v>69.015695067264573</v>
      </c>
      <c r="M242">
        <v>1281157200</v>
      </c>
      <c r="N242" s="9">
        <f t="shared" si="14"/>
        <v>40396.208333333336</v>
      </c>
      <c r="O242" s="9">
        <f t="shared" si="15"/>
        <v>40397.208333333336</v>
      </c>
      <c r="P242" t="b">
        <v>0</v>
      </c>
      <c r="Q242" t="b">
        <v>0</v>
      </c>
      <c r="R242" t="s">
        <v>33</v>
      </c>
      <c r="S242" s="5" t="str" cm="1">
        <f t="array" ref="S242:T242">_xlfn.TEXTSPLIT(R242, "/")</f>
        <v>theater</v>
      </c>
      <c r="T242" s="5" t="str">
        <v>plays</v>
      </c>
    </row>
    <row r="243" spans="1:20" ht="19.5" x14ac:dyDescent="0.4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 s="4">
        <f t="shared" si="12"/>
        <v>101.91632047477745</v>
      </c>
      <c r="K243">
        <v>1397365200</v>
      </c>
      <c r="L243" s="5">
        <f t="shared" si="13"/>
        <v>101.97684085510689</v>
      </c>
      <c r="M243">
        <v>1398229200</v>
      </c>
      <c r="N243" s="9">
        <f t="shared" si="14"/>
        <v>41742.208333333336</v>
      </c>
      <c r="O243" s="9">
        <f t="shared" si="15"/>
        <v>41752.208333333336</v>
      </c>
      <c r="P243" t="b">
        <v>0</v>
      </c>
      <c r="Q243" t="b">
        <v>1</v>
      </c>
      <c r="R243" t="s">
        <v>68</v>
      </c>
      <c r="S243" s="5" t="str" cm="1">
        <f t="array" ref="S243:T243">_xlfn.TEXTSPLIT(R243, "/")</f>
        <v>publishing</v>
      </c>
      <c r="T243" s="5" t="str">
        <v>nonfiction</v>
      </c>
    </row>
    <row r="244" spans="1:20" ht="19.5" x14ac:dyDescent="0.4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 s="4">
        <f t="shared" si="12"/>
        <v>127.72619047619047</v>
      </c>
      <c r="K244">
        <v>1494392400</v>
      </c>
      <c r="L244" s="5">
        <f t="shared" si="13"/>
        <v>42.915999999999997</v>
      </c>
      <c r="M244">
        <v>1495256400</v>
      </c>
      <c r="N244" s="9">
        <f t="shared" si="14"/>
        <v>42865.208333333328</v>
      </c>
      <c r="O244" s="9">
        <f t="shared" si="15"/>
        <v>42875.208333333328</v>
      </c>
      <c r="P244" t="b">
        <v>0</v>
      </c>
      <c r="Q244" t="b">
        <v>1</v>
      </c>
      <c r="R244" t="s">
        <v>23</v>
      </c>
      <c r="S244" s="5" t="str" cm="1">
        <f t="array" ref="S244:T244">_xlfn.TEXTSPLIT(R244, "/")</f>
        <v>music</v>
      </c>
      <c r="T244" s="5" t="str">
        <v>rock</v>
      </c>
    </row>
    <row r="245" spans="1:20" ht="33.75" x14ac:dyDescent="0.4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 s="4">
        <f t="shared" si="12"/>
        <v>445.21739130434781</v>
      </c>
      <c r="K245">
        <v>1520143200</v>
      </c>
      <c r="L245" s="5">
        <f t="shared" si="13"/>
        <v>43.025210084033617</v>
      </c>
      <c r="M245">
        <v>1520402400</v>
      </c>
      <c r="N245" s="9">
        <f t="shared" si="14"/>
        <v>43163.25</v>
      </c>
      <c r="O245" s="9">
        <f t="shared" si="15"/>
        <v>43166.25</v>
      </c>
      <c r="P245" t="b">
        <v>0</v>
      </c>
      <c r="Q245" t="b">
        <v>0</v>
      </c>
      <c r="R245" t="s">
        <v>33</v>
      </c>
      <c r="S245" s="5" t="str" cm="1">
        <f t="array" ref="S245:T245">_xlfn.TEXTSPLIT(R245, "/")</f>
        <v>theater</v>
      </c>
      <c r="T245" s="5" t="str">
        <v>plays</v>
      </c>
    </row>
    <row r="246" spans="1:20" ht="33.75" x14ac:dyDescent="0.4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 s="4">
        <f t="shared" si="12"/>
        <v>569.71428571428578</v>
      </c>
      <c r="K246">
        <v>1405314000</v>
      </c>
      <c r="L246" s="5">
        <f t="shared" si="13"/>
        <v>75.245283018867923</v>
      </c>
      <c r="M246">
        <v>1409806800</v>
      </c>
      <c r="N246" s="9">
        <f t="shared" si="14"/>
        <v>41834.208333333336</v>
      </c>
      <c r="O246" s="9">
        <f t="shared" si="15"/>
        <v>41886.208333333336</v>
      </c>
      <c r="P246" t="b">
        <v>0</v>
      </c>
      <c r="Q246" t="b">
        <v>0</v>
      </c>
      <c r="R246" t="s">
        <v>33</v>
      </c>
      <c r="S246" s="5" t="str" cm="1">
        <f t="array" ref="S246:T246">_xlfn.TEXTSPLIT(R246, "/")</f>
        <v>theater</v>
      </c>
      <c r="T246" s="5" t="str">
        <v>plays</v>
      </c>
    </row>
    <row r="247" spans="1:20" ht="19.5" x14ac:dyDescent="0.4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 s="4">
        <f t="shared" si="12"/>
        <v>509.34482758620686</v>
      </c>
      <c r="K247">
        <v>1396846800</v>
      </c>
      <c r="L247" s="5">
        <f t="shared" si="13"/>
        <v>69.023364485981304</v>
      </c>
      <c r="M247">
        <v>1396933200</v>
      </c>
      <c r="N247" s="9">
        <f t="shared" si="14"/>
        <v>41736.208333333336</v>
      </c>
      <c r="O247" s="9">
        <f t="shared" si="15"/>
        <v>41737.208333333336</v>
      </c>
      <c r="P247" t="b">
        <v>0</v>
      </c>
      <c r="Q247" t="b">
        <v>0</v>
      </c>
      <c r="R247" t="s">
        <v>33</v>
      </c>
      <c r="S247" s="5" t="str" cm="1">
        <f t="array" ref="S247:T247">_xlfn.TEXTSPLIT(R247, "/")</f>
        <v>theater</v>
      </c>
      <c r="T247" s="5" t="str">
        <v>plays</v>
      </c>
    </row>
    <row r="248" spans="1:20" ht="19.5" x14ac:dyDescent="0.4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 s="4">
        <f t="shared" si="12"/>
        <v>325.5333333333333</v>
      </c>
      <c r="K248">
        <v>1375678800</v>
      </c>
      <c r="L248" s="5">
        <f t="shared" si="13"/>
        <v>65.986486486486484</v>
      </c>
      <c r="M248">
        <v>1376024400</v>
      </c>
      <c r="N248" s="9">
        <f t="shared" si="14"/>
        <v>41491.208333333336</v>
      </c>
      <c r="O248" s="9">
        <f t="shared" si="15"/>
        <v>41495.208333333336</v>
      </c>
      <c r="P248" t="b">
        <v>0</v>
      </c>
      <c r="Q248" t="b">
        <v>0</v>
      </c>
      <c r="R248" t="s">
        <v>28</v>
      </c>
      <c r="S248" s="5" t="str" cm="1">
        <f t="array" ref="S248:T248">_xlfn.TEXTSPLIT(R248, "/")</f>
        <v>technology</v>
      </c>
      <c r="T248" s="5" t="str">
        <v>web</v>
      </c>
    </row>
    <row r="249" spans="1:20" ht="19.5" x14ac:dyDescent="0.4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 s="4">
        <f t="shared" si="12"/>
        <v>932.61616161616166</v>
      </c>
      <c r="K249">
        <v>1482386400</v>
      </c>
      <c r="L249" s="5">
        <f t="shared" si="13"/>
        <v>98.013800424628457</v>
      </c>
      <c r="M249">
        <v>1483682400</v>
      </c>
      <c r="N249" s="9">
        <f t="shared" si="14"/>
        <v>42726.25</v>
      </c>
      <c r="O249" s="9">
        <f t="shared" si="15"/>
        <v>42741.25</v>
      </c>
      <c r="P249" t="b">
        <v>0</v>
      </c>
      <c r="Q249" t="b">
        <v>1</v>
      </c>
      <c r="R249" t="s">
        <v>119</v>
      </c>
      <c r="S249" s="5" t="str" cm="1">
        <f t="array" ref="S249:T249">_xlfn.TEXTSPLIT(R249, "/")</f>
        <v>publishing</v>
      </c>
      <c r="T249" s="5" t="str">
        <v>fiction</v>
      </c>
    </row>
    <row r="250" spans="1:20" ht="19.5" x14ac:dyDescent="0.4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 s="4">
        <f t="shared" si="12"/>
        <v>211.33870967741933</v>
      </c>
      <c r="K250">
        <v>1420005600</v>
      </c>
      <c r="L250" s="5">
        <f t="shared" si="13"/>
        <v>60.105504587155963</v>
      </c>
      <c r="M250">
        <v>1420437600</v>
      </c>
      <c r="N250" s="9">
        <f t="shared" si="14"/>
        <v>42004.25</v>
      </c>
      <c r="O250" s="9">
        <f t="shared" si="15"/>
        <v>42009.25</v>
      </c>
      <c r="P250" t="b">
        <v>0</v>
      </c>
      <c r="Q250" t="b">
        <v>0</v>
      </c>
      <c r="R250" t="s">
        <v>292</v>
      </c>
      <c r="S250" s="5" t="str" cm="1">
        <f t="array" ref="S250:T250">_xlfn.TEXTSPLIT(R250, "/")</f>
        <v>games</v>
      </c>
      <c r="T250" s="5" t="str">
        <v>mobile games</v>
      </c>
    </row>
    <row r="251" spans="1:20" ht="19.5" x14ac:dyDescent="0.4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 s="4">
        <f t="shared" si="12"/>
        <v>273.32520325203251</v>
      </c>
      <c r="K251">
        <v>1420178400</v>
      </c>
      <c r="L251" s="5">
        <f t="shared" si="13"/>
        <v>26.000773395204948</v>
      </c>
      <c r="M251">
        <v>1420783200</v>
      </c>
      <c r="N251" s="9">
        <f t="shared" si="14"/>
        <v>42006.25</v>
      </c>
      <c r="O251" s="9">
        <f t="shared" si="15"/>
        <v>42013.25</v>
      </c>
      <c r="P251" t="b">
        <v>0</v>
      </c>
      <c r="Q251" t="b">
        <v>0</v>
      </c>
      <c r="R251" t="s">
        <v>206</v>
      </c>
      <c r="S251" s="5" t="str" cm="1">
        <f t="array" ref="S251:T251">_xlfn.TEXTSPLIT(R251, "/")</f>
        <v>publishing</v>
      </c>
      <c r="T251" s="5" t="str">
        <v>translations</v>
      </c>
    </row>
    <row r="252" spans="1:20" ht="19.5" x14ac:dyDescent="0.4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 s="4">
        <f t="shared" si="12"/>
        <v>3</v>
      </c>
      <c r="K252">
        <v>1264399200</v>
      </c>
      <c r="L252" s="5">
        <f t="shared" si="13"/>
        <v>3</v>
      </c>
      <c r="M252">
        <v>1267423200</v>
      </c>
      <c r="N252" s="9">
        <f t="shared" si="14"/>
        <v>40203.25</v>
      </c>
      <c r="O252" s="9">
        <f t="shared" si="15"/>
        <v>40238.25</v>
      </c>
      <c r="P252" t="b">
        <v>0</v>
      </c>
      <c r="Q252" t="b">
        <v>0</v>
      </c>
      <c r="R252" t="s">
        <v>23</v>
      </c>
      <c r="S252" s="5" t="str" cm="1">
        <f t="array" ref="S252:T252">_xlfn.TEXTSPLIT(R252, "/")</f>
        <v>music</v>
      </c>
      <c r="T252" s="5" t="str">
        <v>rock</v>
      </c>
    </row>
    <row r="253" spans="1:20" ht="19.5" x14ac:dyDescent="0.4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 s="4">
        <f t="shared" si="12"/>
        <v>54.084507042253513</v>
      </c>
      <c r="K253">
        <v>1355032800</v>
      </c>
      <c r="L253" s="5">
        <f t="shared" si="13"/>
        <v>38.019801980198018</v>
      </c>
      <c r="M253">
        <v>1355205600</v>
      </c>
      <c r="N253" s="9">
        <f t="shared" si="14"/>
        <v>41252.25</v>
      </c>
      <c r="O253" s="9">
        <f t="shared" si="15"/>
        <v>41254.25</v>
      </c>
      <c r="P253" t="b">
        <v>0</v>
      </c>
      <c r="Q253" t="b">
        <v>0</v>
      </c>
      <c r="R253" t="s">
        <v>33</v>
      </c>
      <c r="S253" s="5" t="str" cm="1">
        <f t="array" ref="S253:T253">_xlfn.TEXTSPLIT(R253, "/")</f>
        <v>theater</v>
      </c>
      <c r="T253" s="5" t="str">
        <v>plays</v>
      </c>
    </row>
    <row r="254" spans="1:20" ht="33.75" x14ac:dyDescent="0.4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 s="4">
        <f t="shared" si="12"/>
        <v>626.29999999999995</v>
      </c>
      <c r="K254">
        <v>1382677200</v>
      </c>
      <c r="L254" s="5">
        <f t="shared" si="13"/>
        <v>106.15254237288136</v>
      </c>
      <c r="M254">
        <v>1383109200</v>
      </c>
      <c r="N254" s="9">
        <f t="shared" si="14"/>
        <v>41572.208333333336</v>
      </c>
      <c r="O254" s="9">
        <f t="shared" si="15"/>
        <v>41577.208333333336</v>
      </c>
      <c r="P254" t="b">
        <v>0</v>
      </c>
      <c r="Q254" t="b">
        <v>0</v>
      </c>
      <c r="R254" t="s">
        <v>33</v>
      </c>
      <c r="S254" s="5" t="str" cm="1">
        <f t="array" ref="S254:T254">_xlfn.TEXTSPLIT(R254, "/")</f>
        <v>theater</v>
      </c>
      <c r="T254" s="5" t="str">
        <v>plays</v>
      </c>
    </row>
    <row r="255" spans="1:20" ht="19.5" x14ac:dyDescent="0.4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 s="4">
        <f t="shared" si="12"/>
        <v>89.021399176954731</v>
      </c>
      <c r="K255">
        <v>1302238800</v>
      </c>
      <c r="L255" s="5">
        <f t="shared" si="13"/>
        <v>81.019475655430711</v>
      </c>
      <c r="M255">
        <v>1303275600</v>
      </c>
      <c r="N255" s="9">
        <f t="shared" si="14"/>
        <v>40641.208333333336</v>
      </c>
      <c r="O255" s="9">
        <f t="shared" si="15"/>
        <v>40653.208333333336</v>
      </c>
      <c r="P255" t="b">
        <v>0</v>
      </c>
      <c r="Q255" t="b">
        <v>0</v>
      </c>
      <c r="R255" t="s">
        <v>53</v>
      </c>
      <c r="S255" s="5" t="str" cm="1">
        <f t="array" ref="S255:T255">_xlfn.TEXTSPLIT(R255, "/")</f>
        <v>film &amp; video</v>
      </c>
      <c r="T255" s="5" t="str">
        <v>drama</v>
      </c>
    </row>
    <row r="256" spans="1:20" ht="33.75" x14ac:dyDescent="0.4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 s="4">
        <f t="shared" si="12"/>
        <v>184.89130434782609</v>
      </c>
      <c r="K256">
        <v>1487656800</v>
      </c>
      <c r="L256" s="5">
        <f t="shared" si="13"/>
        <v>96.647727272727266</v>
      </c>
      <c r="M256">
        <v>1487829600</v>
      </c>
      <c r="N256" s="9">
        <f t="shared" si="14"/>
        <v>42787.25</v>
      </c>
      <c r="O256" s="9">
        <f t="shared" si="15"/>
        <v>42789.25</v>
      </c>
      <c r="P256" t="b">
        <v>0</v>
      </c>
      <c r="Q256" t="b">
        <v>0</v>
      </c>
      <c r="R256" t="s">
        <v>68</v>
      </c>
      <c r="S256" s="5" t="str" cm="1">
        <f t="array" ref="S256:T256">_xlfn.TEXTSPLIT(R256, "/")</f>
        <v>publishing</v>
      </c>
      <c r="T256" s="5" t="str">
        <v>nonfiction</v>
      </c>
    </row>
    <row r="257" spans="1:20" ht="33.75" x14ac:dyDescent="0.4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 s="4">
        <f t="shared" si="12"/>
        <v>120.16770186335404</v>
      </c>
      <c r="K257">
        <v>1297836000</v>
      </c>
      <c r="L257" s="5">
        <f t="shared" si="13"/>
        <v>57.003535651149086</v>
      </c>
      <c r="M257">
        <v>1298268000</v>
      </c>
      <c r="N257" s="9">
        <f t="shared" si="14"/>
        <v>40590.25</v>
      </c>
      <c r="O257" s="9">
        <f t="shared" si="15"/>
        <v>40595.25</v>
      </c>
      <c r="P257" t="b">
        <v>0</v>
      </c>
      <c r="Q257" t="b">
        <v>1</v>
      </c>
      <c r="R257" t="s">
        <v>23</v>
      </c>
      <c r="S257" s="5" t="str" cm="1">
        <f t="array" ref="S257:T257">_xlfn.TEXTSPLIT(R257, "/")</f>
        <v>music</v>
      </c>
      <c r="T257" s="5" t="str">
        <v>rock</v>
      </c>
    </row>
    <row r="258" spans="1:20" ht="19.5" x14ac:dyDescent="0.4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 s="4">
        <f t="shared" si="12"/>
        <v>23.390243902439025</v>
      </c>
      <c r="K258">
        <v>1453615200</v>
      </c>
      <c r="L258" s="5">
        <f t="shared" si="13"/>
        <v>63.93333333333333</v>
      </c>
      <c r="M258">
        <v>1456812000</v>
      </c>
      <c r="N258" s="9">
        <f t="shared" si="14"/>
        <v>42393.25</v>
      </c>
      <c r="O258" s="9">
        <f t="shared" si="15"/>
        <v>42430.25</v>
      </c>
      <c r="P258" t="b">
        <v>0</v>
      </c>
      <c r="Q258" t="b">
        <v>0</v>
      </c>
      <c r="R258" t="s">
        <v>23</v>
      </c>
      <c r="S258" s="5" t="str" cm="1">
        <f t="array" ref="S258:T258">_xlfn.TEXTSPLIT(R258, "/")</f>
        <v>music</v>
      </c>
      <c r="T258" s="5" t="str">
        <v>rock</v>
      </c>
    </row>
    <row r="259" spans="1:20" ht="19.5" x14ac:dyDescent="0.4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 s="4">
        <f t="shared" ref="J259:J322" si="16">(E259/D259*100)</f>
        <v>146</v>
      </c>
      <c r="K259">
        <v>1362463200</v>
      </c>
      <c r="L259" s="5">
        <f t="shared" ref="L259:L322" si="17">E259/G259</f>
        <v>90.456521739130437</v>
      </c>
      <c r="M259">
        <v>1363669200</v>
      </c>
      <c r="N259" s="9">
        <f t="shared" ref="N259:N322" si="18">(((K259/60)/60)/24)+DATE(1970,1,1)</f>
        <v>41338.25</v>
      </c>
      <c r="O259" s="9">
        <f t="shared" ref="O259:O322" si="19">(((M259/60)/60)/24)+DATE(1970,1,1)</f>
        <v>41352.208333333336</v>
      </c>
      <c r="P259" t="b">
        <v>0</v>
      </c>
      <c r="Q259" t="b">
        <v>0</v>
      </c>
      <c r="R259" t="s">
        <v>33</v>
      </c>
      <c r="S259" s="5" t="str" cm="1">
        <f t="array" ref="S259:T259">_xlfn.TEXTSPLIT(R259, "/")</f>
        <v>theater</v>
      </c>
      <c r="T259" s="5" t="str">
        <v>plays</v>
      </c>
    </row>
    <row r="260" spans="1:20" ht="19.5" x14ac:dyDescent="0.4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 s="4">
        <f t="shared" si="16"/>
        <v>268.48</v>
      </c>
      <c r="K260">
        <v>1481176800</v>
      </c>
      <c r="L260" s="5">
        <f t="shared" si="17"/>
        <v>72.172043010752688</v>
      </c>
      <c r="M260">
        <v>1482904800</v>
      </c>
      <c r="N260" s="9">
        <f t="shared" si="18"/>
        <v>42712.25</v>
      </c>
      <c r="O260" s="9">
        <f t="shared" si="19"/>
        <v>42732.25</v>
      </c>
      <c r="P260" t="b">
        <v>0</v>
      </c>
      <c r="Q260" t="b">
        <v>1</v>
      </c>
      <c r="R260" t="s">
        <v>33</v>
      </c>
      <c r="S260" s="5" t="str" cm="1">
        <f t="array" ref="S260:T260">_xlfn.TEXTSPLIT(R260, "/")</f>
        <v>theater</v>
      </c>
      <c r="T260" s="5" t="str">
        <v>plays</v>
      </c>
    </row>
    <row r="261" spans="1:20" ht="33.75" x14ac:dyDescent="0.4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 s="4">
        <f t="shared" si="16"/>
        <v>597.5</v>
      </c>
      <c r="K261">
        <v>1354946400</v>
      </c>
      <c r="L261" s="5">
        <f t="shared" si="17"/>
        <v>77.934782608695656</v>
      </c>
      <c r="M261">
        <v>1356588000</v>
      </c>
      <c r="N261" s="9">
        <f t="shared" si="18"/>
        <v>41251.25</v>
      </c>
      <c r="O261" s="9">
        <f t="shared" si="19"/>
        <v>41270.25</v>
      </c>
      <c r="P261" t="b">
        <v>1</v>
      </c>
      <c r="Q261" t="b">
        <v>0</v>
      </c>
      <c r="R261" t="s">
        <v>122</v>
      </c>
      <c r="S261" s="5" t="str" cm="1">
        <f t="array" ref="S261:T261">_xlfn.TEXTSPLIT(R261, "/")</f>
        <v>photography</v>
      </c>
      <c r="T261" s="5" t="str">
        <v>photography books</v>
      </c>
    </row>
    <row r="262" spans="1:20" ht="19.5" x14ac:dyDescent="0.4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 s="4">
        <f t="shared" si="16"/>
        <v>157.69841269841268</v>
      </c>
      <c r="K262">
        <v>1348808400</v>
      </c>
      <c r="L262" s="5">
        <f t="shared" si="17"/>
        <v>38.065134099616856</v>
      </c>
      <c r="M262">
        <v>1349845200</v>
      </c>
      <c r="N262" s="9">
        <f t="shared" si="18"/>
        <v>41180.208333333336</v>
      </c>
      <c r="O262" s="9">
        <f t="shared" si="19"/>
        <v>41192.208333333336</v>
      </c>
      <c r="P262" t="b">
        <v>0</v>
      </c>
      <c r="Q262" t="b">
        <v>0</v>
      </c>
      <c r="R262" t="s">
        <v>23</v>
      </c>
      <c r="S262" s="5" t="str" cm="1">
        <f t="array" ref="S262:T262">_xlfn.TEXTSPLIT(R262, "/")</f>
        <v>music</v>
      </c>
      <c r="T262" s="5" t="str">
        <v>rock</v>
      </c>
    </row>
    <row r="263" spans="1:20" ht="33.75" x14ac:dyDescent="0.4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 s="4">
        <f t="shared" si="16"/>
        <v>31.201660735468568</v>
      </c>
      <c r="K263">
        <v>1282712400</v>
      </c>
      <c r="L263" s="5">
        <f t="shared" si="17"/>
        <v>57.936123348017624</v>
      </c>
      <c r="M263">
        <v>1283058000</v>
      </c>
      <c r="N263" s="9">
        <f t="shared" si="18"/>
        <v>40415.208333333336</v>
      </c>
      <c r="O263" s="9">
        <f t="shared" si="19"/>
        <v>40419.208333333336</v>
      </c>
      <c r="P263" t="b">
        <v>0</v>
      </c>
      <c r="Q263" t="b">
        <v>1</v>
      </c>
      <c r="R263" t="s">
        <v>23</v>
      </c>
      <c r="S263" s="5" t="str" cm="1">
        <f t="array" ref="S263:T263">_xlfn.TEXTSPLIT(R263, "/")</f>
        <v>music</v>
      </c>
      <c r="T263" s="5" t="str">
        <v>rock</v>
      </c>
    </row>
    <row r="264" spans="1:20" ht="19.5" x14ac:dyDescent="0.4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 s="4">
        <f t="shared" si="16"/>
        <v>313.41176470588238</v>
      </c>
      <c r="K264">
        <v>1301979600</v>
      </c>
      <c r="L264" s="5">
        <f t="shared" si="17"/>
        <v>49.794392523364486</v>
      </c>
      <c r="M264">
        <v>1304226000</v>
      </c>
      <c r="N264" s="9">
        <f t="shared" si="18"/>
        <v>40638.208333333336</v>
      </c>
      <c r="O264" s="9">
        <f t="shared" si="19"/>
        <v>40664.208333333336</v>
      </c>
      <c r="P264" t="b">
        <v>0</v>
      </c>
      <c r="Q264" t="b">
        <v>1</v>
      </c>
      <c r="R264" t="s">
        <v>60</v>
      </c>
      <c r="S264" s="5" t="str" cm="1">
        <f t="array" ref="S264:T264">_xlfn.TEXTSPLIT(R264, "/")</f>
        <v>music</v>
      </c>
      <c r="T264" s="5" t="str">
        <v>indie rock</v>
      </c>
    </row>
    <row r="265" spans="1:20" ht="19.5" x14ac:dyDescent="0.4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 s="4">
        <f t="shared" si="16"/>
        <v>370.89655172413791</v>
      </c>
      <c r="K265">
        <v>1263016800</v>
      </c>
      <c r="L265" s="5">
        <f t="shared" si="17"/>
        <v>54.050251256281406</v>
      </c>
      <c r="M265">
        <v>1263016800</v>
      </c>
      <c r="N265" s="9">
        <f t="shared" si="18"/>
        <v>40187.25</v>
      </c>
      <c r="O265" s="9">
        <f t="shared" si="19"/>
        <v>40187.25</v>
      </c>
      <c r="P265" t="b">
        <v>0</v>
      </c>
      <c r="Q265" t="b">
        <v>0</v>
      </c>
      <c r="R265" t="s">
        <v>122</v>
      </c>
      <c r="S265" s="5" t="str" cm="1">
        <f t="array" ref="S265:T265">_xlfn.TEXTSPLIT(R265, "/")</f>
        <v>photography</v>
      </c>
      <c r="T265" s="5" t="str">
        <v>photography books</v>
      </c>
    </row>
    <row r="266" spans="1:20" ht="19.5" x14ac:dyDescent="0.4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 s="4">
        <f t="shared" si="16"/>
        <v>362.66447368421052</v>
      </c>
      <c r="K266">
        <v>1360648800</v>
      </c>
      <c r="L266" s="5">
        <f t="shared" si="17"/>
        <v>30.002721335268504</v>
      </c>
      <c r="M266">
        <v>1362031200</v>
      </c>
      <c r="N266" s="9">
        <f t="shared" si="18"/>
        <v>41317.25</v>
      </c>
      <c r="O266" s="9">
        <f t="shared" si="19"/>
        <v>41333.25</v>
      </c>
      <c r="P266" t="b">
        <v>0</v>
      </c>
      <c r="Q266" t="b">
        <v>0</v>
      </c>
      <c r="R266" t="s">
        <v>33</v>
      </c>
      <c r="S266" s="5" t="str" cm="1">
        <f t="array" ref="S266:T266">_xlfn.TEXTSPLIT(R266, "/")</f>
        <v>theater</v>
      </c>
      <c r="T266" s="5" t="str">
        <v>plays</v>
      </c>
    </row>
    <row r="267" spans="1:20" ht="19.5" x14ac:dyDescent="0.4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 s="4">
        <f t="shared" si="16"/>
        <v>123.08163265306122</v>
      </c>
      <c r="K267">
        <v>1451800800</v>
      </c>
      <c r="L267" s="5">
        <f t="shared" si="17"/>
        <v>70.127906976744185</v>
      </c>
      <c r="M267">
        <v>1455602400</v>
      </c>
      <c r="N267" s="9">
        <f t="shared" si="18"/>
        <v>42372.25</v>
      </c>
      <c r="O267" s="9">
        <f t="shared" si="19"/>
        <v>42416.25</v>
      </c>
      <c r="P267" t="b">
        <v>0</v>
      </c>
      <c r="Q267" t="b">
        <v>0</v>
      </c>
      <c r="R267" t="s">
        <v>33</v>
      </c>
      <c r="S267" s="5" t="str" cm="1">
        <f t="array" ref="S267:T267">_xlfn.TEXTSPLIT(R267, "/")</f>
        <v>theater</v>
      </c>
      <c r="T267" s="5" t="str">
        <v>plays</v>
      </c>
    </row>
    <row r="268" spans="1:20" ht="19.5" x14ac:dyDescent="0.4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 s="4">
        <f t="shared" si="16"/>
        <v>76.766756032171585</v>
      </c>
      <c r="K268">
        <v>1415340000</v>
      </c>
      <c r="L268" s="5">
        <f t="shared" si="17"/>
        <v>26.996228786926462</v>
      </c>
      <c r="M268">
        <v>1418191200</v>
      </c>
      <c r="N268" s="9">
        <f t="shared" si="18"/>
        <v>41950.25</v>
      </c>
      <c r="O268" s="9">
        <f t="shared" si="19"/>
        <v>41983.25</v>
      </c>
      <c r="P268" t="b">
        <v>0</v>
      </c>
      <c r="Q268" t="b">
        <v>1</v>
      </c>
      <c r="R268" t="s">
        <v>159</v>
      </c>
      <c r="S268" s="5" t="str" cm="1">
        <f t="array" ref="S268:T268">_xlfn.TEXTSPLIT(R268, "/")</f>
        <v>music</v>
      </c>
      <c r="T268" s="5" t="str">
        <v>jazz</v>
      </c>
    </row>
    <row r="269" spans="1:20" ht="19.5" x14ac:dyDescent="0.4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 s="4">
        <f t="shared" si="16"/>
        <v>233.62012987012989</v>
      </c>
      <c r="K269">
        <v>1351054800</v>
      </c>
      <c r="L269" s="5">
        <f t="shared" si="17"/>
        <v>51.990606936416185</v>
      </c>
      <c r="M269">
        <v>1352440800</v>
      </c>
      <c r="N269" s="9">
        <f t="shared" si="18"/>
        <v>41206.208333333336</v>
      </c>
      <c r="O269" s="9">
        <f t="shared" si="19"/>
        <v>41222.25</v>
      </c>
      <c r="P269" t="b">
        <v>0</v>
      </c>
      <c r="Q269" t="b">
        <v>0</v>
      </c>
      <c r="R269" t="s">
        <v>33</v>
      </c>
      <c r="S269" s="5" t="str" cm="1">
        <f t="array" ref="S269:T269">_xlfn.TEXTSPLIT(R269, "/")</f>
        <v>theater</v>
      </c>
      <c r="T269" s="5" t="str">
        <v>plays</v>
      </c>
    </row>
    <row r="270" spans="1:20" ht="19.5" x14ac:dyDescent="0.4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 s="4">
        <f t="shared" si="16"/>
        <v>180.53333333333333</v>
      </c>
      <c r="K270">
        <v>1349326800</v>
      </c>
      <c r="L270" s="5">
        <f t="shared" si="17"/>
        <v>56.416666666666664</v>
      </c>
      <c r="M270">
        <v>1353304800</v>
      </c>
      <c r="N270" s="9">
        <f t="shared" si="18"/>
        <v>41186.208333333336</v>
      </c>
      <c r="O270" s="9">
        <f t="shared" si="19"/>
        <v>41232.25</v>
      </c>
      <c r="P270" t="b">
        <v>0</v>
      </c>
      <c r="Q270" t="b">
        <v>0</v>
      </c>
      <c r="R270" t="s">
        <v>42</v>
      </c>
      <c r="S270" s="5" t="str" cm="1">
        <f t="array" ref="S270:T270">_xlfn.TEXTSPLIT(R270, "/")</f>
        <v>film &amp; video</v>
      </c>
      <c r="T270" s="5" t="str">
        <v>documentary</v>
      </c>
    </row>
    <row r="271" spans="1:20" ht="19.5" x14ac:dyDescent="0.4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 s="4">
        <f t="shared" si="16"/>
        <v>252.62857142857143</v>
      </c>
      <c r="K271">
        <v>1548914400</v>
      </c>
      <c r="L271" s="5">
        <f t="shared" si="17"/>
        <v>101.63218390804597</v>
      </c>
      <c r="M271">
        <v>1550728800</v>
      </c>
      <c r="N271" s="9">
        <f t="shared" si="18"/>
        <v>43496.25</v>
      </c>
      <c r="O271" s="9">
        <f t="shared" si="19"/>
        <v>43517.25</v>
      </c>
      <c r="P271" t="b">
        <v>0</v>
      </c>
      <c r="Q271" t="b">
        <v>0</v>
      </c>
      <c r="R271" t="s">
        <v>269</v>
      </c>
      <c r="S271" s="5" t="str" cm="1">
        <f t="array" ref="S271:T271">_xlfn.TEXTSPLIT(R271, "/")</f>
        <v>film &amp; video</v>
      </c>
      <c r="T271" s="5" t="str">
        <v>television</v>
      </c>
    </row>
    <row r="272" spans="1:20" ht="19.5" x14ac:dyDescent="0.4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 s="4">
        <f t="shared" si="16"/>
        <v>27.176538240368025</v>
      </c>
      <c r="K272">
        <v>1291269600</v>
      </c>
      <c r="L272" s="5">
        <f t="shared" si="17"/>
        <v>25.005291005291006</v>
      </c>
      <c r="M272">
        <v>1291442400</v>
      </c>
      <c r="N272" s="9">
        <f t="shared" si="18"/>
        <v>40514.25</v>
      </c>
      <c r="O272" s="9">
        <f t="shared" si="19"/>
        <v>40516.25</v>
      </c>
      <c r="P272" t="b">
        <v>0</v>
      </c>
      <c r="Q272" t="b">
        <v>0</v>
      </c>
      <c r="R272" t="s">
        <v>89</v>
      </c>
      <c r="S272" s="5" t="str" cm="1">
        <f t="array" ref="S272:T272">_xlfn.TEXTSPLIT(R272, "/")</f>
        <v>games</v>
      </c>
      <c r="T272" s="5" t="str">
        <v>video games</v>
      </c>
    </row>
    <row r="273" spans="1:20" ht="33.75" x14ac:dyDescent="0.4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 s="4">
        <f t="shared" si="16"/>
        <v>1.2706571242680547</v>
      </c>
      <c r="K273">
        <v>1449468000</v>
      </c>
      <c r="L273" s="5">
        <f t="shared" si="17"/>
        <v>32.016393442622949</v>
      </c>
      <c r="M273">
        <v>1452146400</v>
      </c>
      <c r="N273" s="9">
        <f t="shared" si="18"/>
        <v>42345.25</v>
      </c>
      <c r="O273" s="9">
        <f t="shared" si="19"/>
        <v>42376.25</v>
      </c>
      <c r="P273" t="b">
        <v>0</v>
      </c>
      <c r="Q273" t="b">
        <v>0</v>
      </c>
      <c r="R273" t="s">
        <v>122</v>
      </c>
      <c r="S273" s="5" t="str" cm="1">
        <f t="array" ref="S273:T273">_xlfn.TEXTSPLIT(R273, "/")</f>
        <v>photography</v>
      </c>
      <c r="T273" s="5" t="str">
        <v>photography books</v>
      </c>
    </row>
    <row r="274" spans="1:20" ht="19.5" x14ac:dyDescent="0.4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 s="4">
        <f t="shared" si="16"/>
        <v>304.0097847358121</v>
      </c>
      <c r="K274">
        <v>1562734800</v>
      </c>
      <c r="L274" s="5">
        <f t="shared" si="17"/>
        <v>82.021647307286173</v>
      </c>
      <c r="M274">
        <v>1564894800</v>
      </c>
      <c r="N274" s="9">
        <f t="shared" si="18"/>
        <v>43656.208333333328</v>
      </c>
      <c r="O274" s="9">
        <f t="shared" si="19"/>
        <v>43681.208333333328</v>
      </c>
      <c r="P274" t="b">
        <v>0</v>
      </c>
      <c r="Q274" t="b">
        <v>1</v>
      </c>
      <c r="R274" t="s">
        <v>33</v>
      </c>
      <c r="S274" s="5" t="str" cm="1">
        <f t="array" ref="S274:T274">_xlfn.TEXTSPLIT(R274, "/")</f>
        <v>theater</v>
      </c>
      <c r="T274" s="5" t="str">
        <v>plays</v>
      </c>
    </row>
    <row r="275" spans="1:20" ht="19.5" x14ac:dyDescent="0.4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 s="4">
        <f t="shared" si="16"/>
        <v>137.23076923076923</v>
      </c>
      <c r="K275">
        <v>1505624400</v>
      </c>
      <c r="L275" s="5">
        <f t="shared" si="17"/>
        <v>37.957446808510639</v>
      </c>
      <c r="M275">
        <v>1505883600</v>
      </c>
      <c r="N275" s="9">
        <f t="shared" si="18"/>
        <v>42995.208333333328</v>
      </c>
      <c r="O275" s="9">
        <f t="shared" si="19"/>
        <v>42998.208333333328</v>
      </c>
      <c r="P275" t="b">
        <v>0</v>
      </c>
      <c r="Q275" t="b">
        <v>0</v>
      </c>
      <c r="R275" t="s">
        <v>33</v>
      </c>
      <c r="S275" s="5" t="str" cm="1">
        <f t="array" ref="S275:T275">_xlfn.TEXTSPLIT(R275, "/")</f>
        <v>theater</v>
      </c>
      <c r="T275" s="5" t="str">
        <v>plays</v>
      </c>
    </row>
    <row r="276" spans="1:20" ht="33.75" x14ac:dyDescent="0.4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 s="4">
        <f t="shared" si="16"/>
        <v>32.208333333333336</v>
      </c>
      <c r="K276">
        <v>1509948000</v>
      </c>
      <c r="L276" s="5">
        <f t="shared" si="17"/>
        <v>51.533333333333331</v>
      </c>
      <c r="M276">
        <v>1510380000</v>
      </c>
      <c r="N276" s="9">
        <f t="shared" si="18"/>
        <v>43045.25</v>
      </c>
      <c r="O276" s="9">
        <f t="shared" si="19"/>
        <v>43050.25</v>
      </c>
      <c r="P276" t="b">
        <v>0</v>
      </c>
      <c r="Q276" t="b">
        <v>0</v>
      </c>
      <c r="R276" t="s">
        <v>33</v>
      </c>
      <c r="S276" s="5" t="str" cm="1">
        <f t="array" ref="S276:T276">_xlfn.TEXTSPLIT(R276, "/")</f>
        <v>theater</v>
      </c>
      <c r="T276" s="5" t="str">
        <v>plays</v>
      </c>
    </row>
    <row r="277" spans="1:20" ht="33.75" x14ac:dyDescent="0.4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 s="4">
        <f t="shared" si="16"/>
        <v>241.51282051282053</v>
      </c>
      <c r="K277">
        <v>1554526800</v>
      </c>
      <c r="L277" s="5">
        <f t="shared" si="17"/>
        <v>81.198275862068968</v>
      </c>
      <c r="M277">
        <v>1555218000</v>
      </c>
      <c r="N277" s="9">
        <f t="shared" si="18"/>
        <v>43561.208333333328</v>
      </c>
      <c r="O277" s="9">
        <f t="shared" si="19"/>
        <v>43569.208333333328</v>
      </c>
      <c r="P277" t="b">
        <v>0</v>
      </c>
      <c r="Q277" t="b">
        <v>0</v>
      </c>
      <c r="R277" t="s">
        <v>206</v>
      </c>
      <c r="S277" s="5" t="str" cm="1">
        <f t="array" ref="S277:T277">_xlfn.TEXTSPLIT(R277, "/")</f>
        <v>publishing</v>
      </c>
      <c r="T277" s="5" t="str">
        <v>translations</v>
      </c>
    </row>
    <row r="278" spans="1:20" ht="19.5" x14ac:dyDescent="0.4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 s="4">
        <f t="shared" si="16"/>
        <v>96.8</v>
      </c>
      <c r="K278">
        <v>1334811600</v>
      </c>
      <c r="L278" s="5">
        <f t="shared" si="17"/>
        <v>40.030075187969928</v>
      </c>
      <c r="M278">
        <v>1335243600</v>
      </c>
      <c r="N278" s="9">
        <f t="shared" si="18"/>
        <v>41018.208333333336</v>
      </c>
      <c r="O278" s="9">
        <f t="shared" si="19"/>
        <v>41023.208333333336</v>
      </c>
      <c r="P278" t="b">
        <v>0</v>
      </c>
      <c r="Q278" t="b">
        <v>1</v>
      </c>
      <c r="R278" t="s">
        <v>89</v>
      </c>
      <c r="S278" s="5" t="str" cm="1">
        <f t="array" ref="S278:T278">_xlfn.TEXTSPLIT(R278, "/")</f>
        <v>games</v>
      </c>
      <c r="T278" s="5" t="str">
        <v>video games</v>
      </c>
    </row>
    <row r="279" spans="1:20" ht="33.75" x14ac:dyDescent="0.4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 s="4">
        <f t="shared" si="16"/>
        <v>1066.4285714285716</v>
      </c>
      <c r="K279">
        <v>1279515600</v>
      </c>
      <c r="L279" s="5">
        <f t="shared" si="17"/>
        <v>89.939759036144579</v>
      </c>
      <c r="M279">
        <v>1279688400</v>
      </c>
      <c r="N279" s="9">
        <f t="shared" si="18"/>
        <v>40378.208333333336</v>
      </c>
      <c r="O279" s="9">
        <f t="shared" si="19"/>
        <v>40380.208333333336</v>
      </c>
      <c r="P279" t="b">
        <v>0</v>
      </c>
      <c r="Q279" t="b">
        <v>0</v>
      </c>
      <c r="R279" t="s">
        <v>33</v>
      </c>
      <c r="S279" s="5" t="str" cm="1">
        <f t="array" ref="S279:T279">_xlfn.TEXTSPLIT(R279, "/")</f>
        <v>theater</v>
      </c>
      <c r="T279" s="5" t="str">
        <v>plays</v>
      </c>
    </row>
    <row r="280" spans="1:20" ht="19.5" x14ac:dyDescent="0.4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 s="4">
        <f t="shared" si="16"/>
        <v>325.88888888888891</v>
      </c>
      <c r="K280">
        <v>1353909600</v>
      </c>
      <c r="L280" s="5">
        <f t="shared" si="17"/>
        <v>96.692307692307693</v>
      </c>
      <c r="M280">
        <v>1356069600</v>
      </c>
      <c r="N280" s="9">
        <f t="shared" si="18"/>
        <v>41239.25</v>
      </c>
      <c r="O280" s="9">
        <f t="shared" si="19"/>
        <v>41264.25</v>
      </c>
      <c r="P280" t="b">
        <v>0</v>
      </c>
      <c r="Q280" t="b">
        <v>0</v>
      </c>
      <c r="R280" t="s">
        <v>28</v>
      </c>
      <c r="S280" s="5" t="str" cm="1">
        <f t="array" ref="S280:T280">_xlfn.TEXTSPLIT(R280, "/")</f>
        <v>technology</v>
      </c>
      <c r="T280" s="5" t="str">
        <v>web</v>
      </c>
    </row>
    <row r="281" spans="1:20" ht="19.5" x14ac:dyDescent="0.4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 s="4">
        <f t="shared" si="16"/>
        <v>170.70000000000002</v>
      </c>
      <c r="K281">
        <v>1535950800</v>
      </c>
      <c r="L281" s="5">
        <f t="shared" si="17"/>
        <v>25.010989010989011</v>
      </c>
      <c r="M281">
        <v>1536210000</v>
      </c>
      <c r="N281" s="9">
        <f t="shared" si="18"/>
        <v>43346.208333333328</v>
      </c>
      <c r="O281" s="9">
        <f t="shared" si="19"/>
        <v>43349.208333333328</v>
      </c>
      <c r="P281" t="b">
        <v>0</v>
      </c>
      <c r="Q281" t="b">
        <v>0</v>
      </c>
      <c r="R281" t="s">
        <v>33</v>
      </c>
      <c r="S281" s="5" t="str" cm="1">
        <f t="array" ref="S281:T281">_xlfn.TEXTSPLIT(R281, "/")</f>
        <v>theater</v>
      </c>
      <c r="T281" s="5" t="str">
        <v>plays</v>
      </c>
    </row>
    <row r="282" spans="1:20" ht="33.75" x14ac:dyDescent="0.4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 s="4">
        <f t="shared" si="16"/>
        <v>581.44000000000005</v>
      </c>
      <c r="K282">
        <v>1511244000</v>
      </c>
      <c r="L282" s="5">
        <f t="shared" si="17"/>
        <v>36.987277353689571</v>
      </c>
      <c r="M282">
        <v>1511762400</v>
      </c>
      <c r="N282" s="9">
        <f t="shared" si="18"/>
        <v>43060.25</v>
      </c>
      <c r="O282" s="9">
        <f t="shared" si="19"/>
        <v>43066.25</v>
      </c>
      <c r="P282" t="b">
        <v>0</v>
      </c>
      <c r="Q282" t="b">
        <v>0</v>
      </c>
      <c r="R282" t="s">
        <v>71</v>
      </c>
      <c r="S282" s="5" t="str" cm="1">
        <f t="array" ref="S282:T282">_xlfn.TEXTSPLIT(R282, "/")</f>
        <v>film &amp; video</v>
      </c>
      <c r="T282" s="5" t="str">
        <v>animation</v>
      </c>
    </row>
    <row r="283" spans="1:20" ht="19.5" x14ac:dyDescent="0.4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 s="4">
        <f t="shared" si="16"/>
        <v>91.520972644376897</v>
      </c>
      <c r="K283">
        <v>1331445600</v>
      </c>
      <c r="L283" s="5">
        <f t="shared" si="17"/>
        <v>73.012609117361791</v>
      </c>
      <c r="M283">
        <v>1333256400</v>
      </c>
      <c r="N283" s="9">
        <f t="shared" si="18"/>
        <v>40979.25</v>
      </c>
      <c r="O283" s="9">
        <f t="shared" si="19"/>
        <v>41000.208333333336</v>
      </c>
      <c r="P283" t="b">
        <v>0</v>
      </c>
      <c r="Q283" t="b">
        <v>1</v>
      </c>
      <c r="R283" t="s">
        <v>33</v>
      </c>
      <c r="S283" s="5" t="str" cm="1">
        <f t="array" ref="S283:T283">_xlfn.TEXTSPLIT(R283, "/")</f>
        <v>theater</v>
      </c>
      <c r="T283" s="5" t="str">
        <v>plays</v>
      </c>
    </row>
    <row r="284" spans="1:20" ht="19.5" x14ac:dyDescent="0.4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 s="4">
        <f t="shared" si="16"/>
        <v>108.04761904761904</v>
      </c>
      <c r="K284">
        <v>1480226400</v>
      </c>
      <c r="L284" s="5">
        <f t="shared" si="17"/>
        <v>68.240601503759393</v>
      </c>
      <c r="M284">
        <v>1480744800</v>
      </c>
      <c r="N284" s="9">
        <f t="shared" si="18"/>
        <v>42701.25</v>
      </c>
      <c r="O284" s="9">
        <f t="shared" si="19"/>
        <v>42707.25</v>
      </c>
      <c r="P284" t="b">
        <v>0</v>
      </c>
      <c r="Q284" t="b">
        <v>1</v>
      </c>
      <c r="R284" t="s">
        <v>269</v>
      </c>
      <c r="S284" s="5" t="str" cm="1">
        <f t="array" ref="S284:T284">_xlfn.TEXTSPLIT(R284, "/")</f>
        <v>film &amp; video</v>
      </c>
      <c r="T284" s="5" t="str">
        <v>television</v>
      </c>
    </row>
    <row r="285" spans="1:20" ht="33.75" x14ac:dyDescent="0.4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 s="4">
        <f t="shared" si="16"/>
        <v>18.728395061728396</v>
      </c>
      <c r="K285">
        <v>1464584400</v>
      </c>
      <c r="L285" s="5">
        <f t="shared" si="17"/>
        <v>52.310344827586206</v>
      </c>
      <c r="M285">
        <v>1465016400</v>
      </c>
      <c r="N285" s="9">
        <f t="shared" si="18"/>
        <v>42520.208333333328</v>
      </c>
      <c r="O285" s="9">
        <f t="shared" si="19"/>
        <v>42525.208333333328</v>
      </c>
      <c r="P285" t="b">
        <v>0</v>
      </c>
      <c r="Q285" t="b">
        <v>0</v>
      </c>
      <c r="R285" t="s">
        <v>23</v>
      </c>
      <c r="S285" s="5" t="str" cm="1">
        <f t="array" ref="S285:T285">_xlfn.TEXTSPLIT(R285, "/")</f>
        <v>music</v>
      </c>
      <c r="T285" s="5" t="str">
        <v>rock</v>
      </c>
    </row>
    <row r="286" spans="1:20" ht="19.5" x14ac:dyDescent="0.4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 s="4">
        <f t="shared" si="16"/>
        <v>83.193877551020407</v>
      </c>
      <c r="K286">
        <v>1335848400</v>
      </c>
      <c r="L286" s="5">
        <f t="shared" si="17"/>
        <v>61.765151515151516</v>
      </c>
      <c r="M286">
        <v>1336280400</v>
      </c>
      <c r="N286" s="9">
        <f t="shared" si="18"/>
        <v>41030.208333333336</v>
      </c>
      <c r="O286" s="9">
        <f t="shared" si="19"/>
        <v>41035.208333333336</v>
      </c>
      <c r="P286" t="b">
        <v>0</v>
      </c>
      <c r="Q286" t="b">
        <v>0</v>
      </c>
      <c r="R286" t="s">
        <v>28</v>
      </c>
      <c r="S286" s="5" t="str" cm="1">
        <f t="array" ref="S286:T286">_xlfn.TEXTSPLIT(R286, "/")</f>
        <v>technology</v>
      </c>
      <c r="T286" s="5" t="str">
        <v>web</v>
      </c>
    </row>
    <row r="287" spans="1:20" ht="19.5" x14ac:dyDescent="0.4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 s="4">
        <f t="shared" si="16"/>
        <v>706.33333333333337</v>
      </c>
      <c r="K287">
        <v>1473483600</v>
      </c>
      <c r="L287" s="5">
        <f t="shared" si="17"/>
        <v>25.027559055118111</v>
      </c>
      <c r="M287">
        <v>1476766800</v>
      </c>
      <c r="N287" s="9">
        <f t="shared" si="18"/>
        <v>42623.208333333328</v>
      </c>
      <c r="O287" s="9">
        <f t="shared" si="19"/>
        <v>42661.208333333328</v>
      </c>
      <c r="P287" t="b">
        <v>0</v>
      </c>
      <c r="Q287" t="b">
        <v>0</v>
      </c>
      <c r="R287" t="s">
        <v>33</v>
      </c>
      <c r="S287" s="5" t="str" cm="1">
        <f t="array" ref="S287:T287">_xlfn.TEXTSPLIT(R287, "/")</f>
        <v>theater</v>
      </c>
      <c r="T287" s="5" t="str">
        <v>plays</v>
      </c>
    </row>
    <row r="288" spans="1:20" ht="19.5" x14ac:dyDescent="0.4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 s="4">
        <f t="shared" si="16"/>
        <v>17.446030330062445</v>
      </c>
      <c r="K288">
        <v>1479880800</v>
      </c>
      <c r="L288" s="5">
        <f t="shared" si="17"/>
        <v>106.28804347826087</v>
      </c>
      <c r="M288">
        <v>1480485600</v>
      </c>
      <c r="N288" s="9">
        <f t="shared" si="18"/>
        <v>42697.25</v>
      </c>
      <c r="O288" s="9">
        <f t="shared" si="19"/>
        <v>42704.25</v>
      </c>
      <c r="P288" t="b">
        <v>0</v>
      </c>
      <c r="Q288" t="b">
        <v>0</v>
      </c>
      <c r="R288" t="s">
        <v>33</v>
      </c>
      <c r="S288" s="5" t="str" cm="1">
        <f t="array" ref="S288:T288">_xlfn.TEXTSPLIT(R288, "/")</f>
        <v>theater</v>
      </c>
      <c r="T288" s="5" t="str">
        <v>plays</v>
      </c>
    </row>
    <row r="289" spans="1:20" ht="19.5" x14ac:dyDescent="0.4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 s="4">
        <f t="shared" si="16"/>
        <v>209.73015873015873</v>
      </c>
      <c r="K289">
        <v>1430197200</v>
      </c>
      <c r="L289" s="5">
        <f t="shared" si="17"/>
        <v>75.07386363636364</v>
      </c>
      <c r="M289">
        <v>1430197200</v>
      </c>
      <c r="N289" s="9">
        <f t="shared" si="18"/>
        <v>42122.208333333328</v>
      </c>
      <c r="O289" s="9">
        <f t="shared" si="19"/>
        <v>42122.208333333328</v>
      </c>
      <c r="P289" t="b">
        <v>0</v>
      </c>
      <c r="Q289" t="b">
        <v>0</v>
      </c>
      <c r="R289" t="s">
        <v>50</v>
      </c>
      <c r="S289" s="5" t="str" cm="1">
        <f t="array" ref="S289:T289">_xlfn.TEXTSPLIT(R289, "/")</f>
        <v>music</v>
      </c>
      <c r="T289" s="5" t="str">
        <v>electric music</v>
      </c>
    </row>
    <row r="290" spans="1:20" ht="19.5" x14ac:dyDescent="0.4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 s="4">
        <f t="shared" si="16"/>
        <v>97.785714285714292</v>
      </c>
      <c r="K290">
        <v>1331701200</v>
      </c>
      <c r="L290" s="5">
        <f t="shared" si="17"/>
        <v>39.970802919708028</v>
      </c>
      <c r="M290">
        <v>1331787600</v>
      </c>
      <c r="N290" s="9">
        <f t="shared" si="18"/>
        <v>40982.208333333336</v>
      </c>
      <c r="O290" s="9">
        <f t="shared" si="19"/>
        <v>40983.208333333336</v>
      </c>
      <c r="P290" t="b">
        <v>0</v>
      </c>
      <c r="Q290" t="b">
        <v>1</v>
      </c>
      <c r="R290" t="s">
        <v>148</v>
      </c>
      <c r="S290" s="5" t="str" cm="1">
        <f t="array" ref="S290:T290">_xlfn.TEXTSPLIT(R290, "/")</f>
        <v>music</v>
      </c>
      <c r="T290" s="5" t="str">
        <v>metal</v>
      </c>
    </row>
    <row r="291" spans="1:20" ht="19.5" x14ac:dyDescent="0.4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 s="4">
        <f t="shared" si="16"/>
        <v>1684.25</v>
      </c>
      <c r="K291">
        <v>1438578000</v>
      </c>
      <c r="L291" s="5">
        <f t="shared" si="17"/>
        <v>39.982195845697326</v>
      </c>
      <c r="M291">
        <v>1438837200</v>
      </c>
      <c r="N291" s="9">
        <f t="shared" si="18"/>
        <v>42219.208333333328</v>
      </c>
      <c r="O291" s="9">
        <f t="shared" si="19"/>
        <v>42222.208333333328</v>
      </c>
      <c r="P291" t="b">
        <v>0</v>
      </c>
      <c r="Q291" t="b">
        <v>0</v>
      </c>
      <c r="R291" t="s">
        <v>33</v>
      </c>
      <c r="S291" s="5" t="str" cm="1">
        <f t="array" ref="S291:T291">_xlfn.TEXTSPLIT(R291, "/")</f>
        <v>theater</v>
      </c>
      <c r="T291" s="5" t="str">
        <v>plays</v>
      </c>
    </row>
    <row r="292" spans="1:20" ht="19.5" x14ac:dyDescent="0.4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 s="4">
        <f t="shared" si="16"/>
        <v>54.402135231316727</v>
      </c>
      <c r="K292">
        <v>1368162000</v>
      </c>
      <c r="L292" s="5">
        <f t="shared" si="17"/>
        <v>101.01541850220265</v>
      </c>
      <c r="M292">
        <v>1370926800</v>
      </c>
      <c r="N292" s="9">
        <f t="shared" si="18"/>
        <v>41404.208333333336</v>
      </c>
      <c r="O292" s="9">
        <f t="shared" si="19"/>
        <v>41436.208333333336</v>
      </c>
      <c r="P292" t="b">
        <v>0</v>
      </c>
      <c r="Q292" t="b">
        <v>1</v>
      </c>
      <c r="R292" t="s">
        <v>42</v>
      </c>
      <c r="S292" s="5" t="str" cm="1">
        <f t="array" ref="S292:T292">_xlfn.TEXTSPLIT(R292, "/")</f>
        <v>film &amp; video</v>
      </c>
      <c r="T292" s="5" t="str">
        <v>documentary</v>
      </c>
    </row>
    <row r="293" spans="1:20" ht="19.5" x14ac:dyDescent="0.4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 s="4">
        <f t="shared" si="16"/>
        <v>456.61111111111109</v>
      </c>
      <c r="K293">
        <v>1318654800</v>
      </c>
      <c r="L293" s="5">
        <f t="shared" si="17"/>
        <v>76.813084112149539</v>
      </c>
      <c r="M293">
        <v>1319000400</v>
      </c>
      <c r="N293" s="9">
        <f t="shared" si="18"/>
        <v>40831.208333333336</v>
      </c>
      <c r="O293" s="9">
        <f t="shared" si="19"/>
        <v>40835.208333333336</v>
      </c>
      <c r="P293" t="b">
        <v>1</v>
      </c>
      <c r="Q293" t="b">
        <v>0</v>
      </c>
      <c r="R293" t="s">
        <v>28</v>
      </c>
      <c r="S293" s="5" t="str" cm="1">
        <f t="array" ref="S293:T293">_xlfn.TEXTSPLIT(R293, "/")</f>
        <v>technology</v>
      </c>
      <c r="T293" s="5" t="str">
        <v>web</v>
      </c>
    </row>
    <row r="294" spans="1:20" ht="19.5" x14ac:dyDescent="0.4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 s="4">
        <f t="shared" si="16"/>
        <v>9.8219178082191778</v>
      </c>
      <c r="K294">
        <v>1331874000</v>
      </c>
      <c r="L294" s="5">
        <f t="shared" si="17"/>
        <v>71.7</v>
      </c>
      <c r="M294">
        <v>1333429200</v>
      </c>
      <c r="N294" s="9">
        <f t="shared" si="18"/>
        <v>40984.208333333336</v>
      </c>
      <c r="O294" s="9">
        <f t="shared" si="19"/>
        <v>41002.208333333336</v>
      </c>
      <c r="P294" t="b">
        <v>0</v>
      </c>
      <c r="Q294" t="b">
        <v>0</v>
      </c>
      <c r="R294" t="s">
        <v>17</v>
      </c>
      <c r="S294" s="5" t="str" cm="1">
        <f t="array" ref="S294:T294">_xlfn.TEXTSPLIT(R294, "/")</f>
        <v>food</v>
      </c>
      <c r="T294" s="5" t="str">
        <v>food trucks</v>
      </c>
    </row>
    <row r="295" spans="1:20" ht="19.5" x14ac:dyDescent="0.4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 s="4">
        <f t="shared" si="16"/>
        <v>16.384615384615383</v>
      </c>
      <c r="K295">
        <v>1286254800</v>
      </c>
      <c r="L295" s="5">
        <f t="shared" si="17"/>
        <v>33.28125</v>
      </c>
      <c r="M295">
        <v>1287032400</v>
      </c>
      <c r="N295" s="9">
        <f t="shared" si="18"/>
        <v>40456.208333333336</v>
      </c>
      <c r="O295" s="9">
        <f t="shared" si="19"/>
        <v>40465.208333333336</v>
      </c>
      <c r="P295" t="b">
        <v>0</v>
      </c>
      <c r="Q295" t="b">
        <v>0</v>
      </c>
      <c r="R295" t="s">
        <v>33</v>
      </c>
      <c r="S295" s="5" t="str" cm="1">
        <f t="array" ref="S295:T295">_xlfn.TEXTSPLIT(R295, "/")</f>
        <v>theater</v>
      </c>
      <c r="T295" s="5" t="str">
        <v>plays</v>
      </c>
    </row>
    <row r="296" spans="1:20" ht="19.5" x14ac:dyDescent="0.4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 s="4">
        <f t="shared" si="16"/>
        <v>1339.6666666666667</v>
      </c>
      <c r="K296">
        <v>1540530000</v>
      </c>
      <c r="L296" s="5">
        <f t="shared" si="17"/>
        <v>43.923497267759565</v>
      </c>
      <c r="M296">
        <v>1541570400</v>
      </c>
      <c r="N296" s="9">
        <f t="shared" si="18"/>
        <v>43399.208333333328</v>
      </c>
      <c r="O296" s="9">
        <f t="shared" si="19"/>
        <v>43411.25</v>
      </c>
      <c r="P296" t="b">
        <v>0</v>
      </c>
      <c r="Q296" t="b">
        <v>0</v>
      </c>
      <c r="R296" t="s">
        <v>33</v>
      </c>
      <c r="S296" s="5" t="str" cm="1">
        <f t="array" ref="S296:T296">_xlfn.TEXTSPLIT(R296, "/")</f>
        <v>theater</v>
      </c>
      <c r="T296" s="5" t="str">
        <v>plays</v>
      </c>
    </row>
    <row r="297" spans="1:20" ht="33.75" x14ac:dyDescent="0.4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 s="4">
        <f t="shared" si="16"/>
        <v>35.650077760497666</v>
      </c>
      <c r="K297">
        <v>1381813200</v>
      </c>
      <c r="L297" s="5">
        <f t="shared" si="17"/>
        <v>36.004712041884815</v>
      </c>
      <c r="M297">
        <v>1383976800</v>
      </c>
      <c r="N297" s="9">
        <f t="shared" si="18"/>
        <v>41562.208333333336</v>
      </c>
      <c r="O297" s="9">
        <f t="shared" si="19"/>
        <v>41587.25</v>
      </c>
      <c r="P297" t="b">
        <v>0</v>
      </c>
      <c r="Q297" t="b">
        <v>0</v>
      </c>
      <c r="R297" t="s">
        <v>33</v>
      </c>
      <c r="S297" s="5" t="str" cm="1">
        <f t="array" ref="S297:T297">_xlfn.TEXTSPLIT(R297, "/")</f>
        <v>theater</v>
      </c>
      <c r="T297" s="5" t="str">
        <v>plays</v>
      </c>
    </row>
    <row r="298" spans="1:20" ht="33.75" x14ac:dyDescent="0.4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 s="4">
        <f t="shared" si="16"/>
        <v>54.950819672131146</v>
      </c>
      <c r="K298">
        <v>1548655200</v>
      </c>
      <c r="L298" s="5">
        <f t="shared" si="17"/>
        <v>88.21052631578948</v>
      </c>
      <c r="M298">
        <v>1550556000</v>
      </c>
      <c r="N298" s="9">
        <f t="shared" si="18"/>
        <v>43493.25</v>
      </c>
      <c r="O298" s="9">
        <f t="shared" si="19"/>
        <v>43515.25</v>
      </c>
      <c r="P298" t="b">
        <v>0</v>
      </c>
      <c r="Q298" t="b">
        <v>0</v>
      </c>
      <c r="R298" t="s">
        <v>33</v>
      </c>
      <c r="S298" s="5" t="str" cm="1">
        <f t="array" ref="S298:T298">_xlfn.TEXTSPLIT(R298, "/")</f>
        <v>theater</v>
      </c>
      <c r="T298" s="5" t="str">
        <v>plays</v>
      </c>
    </row>
    <row r="299" spans="1:20" ht="19.5" x14ac:dyDescent="0.4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 s="4">
        <f t="shared" si="16"/>
        <v>94.236111111111114</v>
      </c>
      <c r="K299">
        <v>1389679200</v>
      </c>
      <c r="L299" s="5">
        <f t="shared" si="17"/>
        <v>65.240384615384613</v>
      </c>
      <c r="M299">
        <v>1390456800</v>
      </c>
      <c r="N299" s="9">
        <f t="shared" si="18"/>
        <v>41653.25</v>
      </c>
      <c r="O299" s="9">
        <f t="shared" si="19"/>
        <v>41662.25</v>
      </c>
      <c r="P299" t="b">
        <v>0</v>
      </c>
      <c r="Q299" t="b">
        <v>1</v>
      </c>
      <c r="R299" t="s">
        <v>33</v>
      </c>
      <c r="S299" s="5" t="str" cm="1">
        <f t="array" ref="S299:T299">_xlfn.TEXTSPLIT(R299, "/")</f>
        <v>theater</v>
      </c>
      <c r="T299" s="5" t="str">
        <v>plays</v>
      </c>
    </row>
    <row r="300" spans="1:20" ht="19.5" x14ac:dyDescent="0.4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 s="4">
        <f t="shared" si="16"/>
        <v>143.91428571428571</v>
      </c>
      <c r="K300">
        <v>1456466400</v>
      </c>
      <c r="L300" s="5">
        <f t="shared" si="17"/>
        <v>69.958333333333329</v>
      </c>
      <c r="M300">
        <v>1458018000</v>
      </c>
      <c r="N300" s="9">
        <f t="shared" si="18"/>
        <v>42426.25</v>
      </c>
      <c r="O300" s="9">
        <f t="shared" si="19"/>
        <v>42444.208333333328</v>
      </c>
      <c r="P300" t="b">
        <v>0</v>
      </c>
      <c r="Q300" t="b">
        <v>1</v>
      </c>
      <c r="R300" t="s">
        <v>23</v>
      </c>
      <c r="S300" s="5" t="str" cm="1">
        <f t="array" ref="S300:T300">_xlfn.TEXTSPLIT(R300, "/")</f>
        <v>music</v>
      </c>
      <c r="T300" s="5" t="str">
        <v>rock</v>
      </c>
    </row>
    <row r="301" spans="1:20" ht="33.75" x14ac:dyDescent="0.4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 s="4">
        <f t="shared" si="16"/>
        <v>51.421052631578945</v>
      </c>
      <c r="K301">
        <v>1456984800</v>
      </c>
      <c r="L301" s="5">
        <f t="shared" si="17"/>
        <v>39.877551020408163</v>
      </c>
      <c r="M301">
        <v>1461819600</v>
      </c>
      <c r="N301" s="9">
        <f t="shared" si="18"/>
        <v>42432.25</v>
      </c>
      <c r="O301" s="9">
        <f t="shared" si="19"/>
        <v>42488.208333333328</v>
      </c>
      <c r="P301" t="b">
        <v>0</v>
      </c>
      <c r="Q301" t="b">
        <v>0</v>
      </c>
      <c r="R301" t="s">
        <v>17</v>
      </c>
      <c r="S301" s="5" t="str" cm="1">
        <f t="array" ref="S301:T301">_xlfn.TEXTSPLIT(R301, "/")</f>
        <v>food</v>
      </c>
      <c r="T301" s="5" t="str">
        <v>food trucks</v>
      </c>
    </row>
    <row r="302" spans="1:20" ht="19.5" x14ac:dyDescent="0.4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 s="4">
        <f t="shared" si="16"/>
        <v>5</v>
      </c>
      <c r="K302">
        <v>1504069200</v>
      </c>
      <c r="L302" s="5">
        <f t="shared" si="17"/>
        <v>5</v>
      </c>
      <c r="M302">
        <v>1504155600</v>
      </c>
      <c r="N302" s="9">
        <f t="shared" si="18"/>
        <v>42977.208333333328</v>
      </c>
      <c r="O302" s="9">
        <f t="shared" si="19"/>
        <v>42978.208333333328</v>
      </c>
      <c r="P302" t="b">
        <v>0</v>
      </c>
      <c r="Q302" t="b">
        <v>1</v>
      </c>
      <c r="R302" t="s">
        <v>68</v>
      </c>
      <c r="S302" s="5" t="str" cm="1">
        <f t="array" ref="S302:T302">_xlfn.TEXTSPLIT(R302, "/")</f>
        <v>publishing</v>
      </c>
      <c r="T302" s="5" t="str">
        <v>nonfiction</v>
      </c>
    </row>
    <row r="303" spans="1:20" ht="19.5" x14ac:dyDescent="0.4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 s="4">
        <f t="shared" si="16"/>
        <v>1344.6666666666667</v>
      </c>
      <c r="K303">
        <v>1424930400</v>
      </c>
      <c r="L303" s="5">
        <f t="shared" si="17"/>
        <v>41.023728813559323</v>
      </c>
      <c r="M303">
        <v>1426395600</v>
      </c>
      <c r="N303" s="9">
        <f t="shared" si="18"/>
        <v>42061.25</v>
      </c>
      <c r="O303" s="9">
        <f t="shared" si="19"/>
        <v>42078.208333333328</v>
      </c>
      <c r="P303" t="b">
        <v>0</v>
      </c>
      <c r="Q303" t="b">
        <v>0</v>
      </c>
      <c r="R303" t="s">
        <v>42</v>
      </c>
      <c r="S303" s="5" t="str" cm="1">
        <f t="array" ref="S303:T303">_xlfn.TEXTSPLIT(R303, "/")</f>
        <v>film &amp; video</v>
      </c>
      <c r="T303" s="5" t="str">
        <v>documentary</v>
      </c>
    </row>
    <row r="304" spans="1:20" ht="19.5" x14ac:dyDescent="0.4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 s="4">
        <f t="shared" si="16"/>
        <v>31.844940867279899</v>
      </c>
      <c r="K304">
        <v>1535864400</v>
      </c>
      <c r="L304" s="5">
        <f t="shared" si="17"/>
        <v>98.914285714285711</v>
      </c>
      <c r="M304">
        <v>1537074000</v>
      </c>
      <c r="N304" s="9">
        <f t="shared" si="18"/>
        <v>43345.208333333328</v>
      </c>
      <c r="O304" s="9">
        <f t="shared" si="19"/>
        <v>43359.208333333328</v>
      </c>
      <c r="P304" t="b">
        <v>0</v>
      </c>
      <c r="Q304" t="b">
        <v>0</v>
      </c>
      <c r="R304" t="s">
        <v>33</v>
      </c>
      <c r="S304" s="5" t="str" cm="1">
        <f t="array" ref="S304:T304">_xlfn.TEXTSPLIT(R304, "/")</f>
        <v>theater</v>
      </c>
      <c r="T304" s="5" t="str">
        <v>plays</v>
      </c>
    </row>
    <row r="305" spans="1:20" ht="19.5" x14ac:dyDescent="0.4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 s="4">
        <f t="shared" si="16"/>
        <v>82.617647058823536</v>
      </c>
      <c r="K305">
        <v>1452146400</v>
      </c>
      <c r="L305" s="5">
        <f t="shared" si="17"/>
        <v>87.78125</v>
      </c>
      <c r="M305">
        <v>1452578400</v>
      </c>
      <c r="N305" s="9">
        <f t="shared" si="18"/>
        <v>42376.25</v>
      </c>
      <c r="O305" s="9">
        <f t="shared" si="19"/>
        <v>42381.25</v>
      </c>
      <c r="P305" t="b">
        <v>0</v>
      </c>
      <c r="Q305" t="b">
        <v>0</v>
      </c>
      <c r="R305" t="s">
        <v>60</v>
      </c>
      <c r="S305" s="5" t="str" cm="1">
        <f t="array" ref="S305:T305">_xlfn.TEXTSPLIT(R305, "/")</f>
        <v>music</v>
      </c>
      <c r="T305" s="5" t="str">
        <v>indie rock</v>
      </c>
    </row>
    <row r="306" spans="1:20" ht="19.5" x14ac:dyDescent="0.4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 s="4">
        <f t="shared" si="16"/>
        <v>546.14285714285722</v>
      </c>
      <c r="K306">
        <v>1470546000</v>
      </c>
      <c r="L306" s="5">
        <f t="shared" si="17"/>
        <v>80.767605633802816</v>
      </c>
      <c r="M306">
        <v>1474088400</v>
      </c>
      <c r="N306" s="9">
        <f t="shared" si="18"/>
        <v>42589.208333333328</v>
      </c>
      <c r="O306" s="9">
        <f t="shared" si="19"/>
        <v>42630.208333333328</v>
      </c>
      <c r="P306" t="b">
        <v>0</v>
      </c>
      <c r="Q306" t="b">
        <v>0</v>
      </c>
      <c r="R306" t="s">
        <v>42</v>
      </c>
      <c r="S306" s="5" t="str" cm="1">
        <f t="array" ref="S306:T306">_xlfn.TEXTSPLIT(R306, "/")</f>
        <v>film &amp; video</v>
      </c>
      <c r="T306" s="5" t="str">
        <v>documentary</v>
      </c>
    </row>
    <row r="307" spans="1:20" ht="19.5" x14ac:dyDescent="0.4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 s="4">
        <f t="shared" si="16"/>
        <v>286.21428571428572</v>
      </c>
      <c r="K307">
        <v>1458363600</v>
      </c>
      <c r="L307" s="5">
        <f t="shared" si="17"/>
        <v>94.28235294117647</v>
      </c>
      <c r="M307">
        <v>1461906000</v>
      </c>
      <c r="N307" s="9">
        <f t="shared" si="18"/>
        <v>42448.208333333328</v>
      </c>
      <c r="O307" s="9">
        <f t="shared" si="19"/>
        <v>42489.208333333328</v>
      </c>
      <c r="P307" t="b">
        <v>0</v>
      </c>
      <c r="Q307" t="b">
        <v>0</v>
      </c>
      <c r="R307" t="s">
        <v>33</v>
      </c>
      <c r="S307" s="5" t="str" cm="1">
        <f t="array" ref="S307:T307">_xlfn.TEXTSPLIT(R307, "/")</f>
        <v>theater</v>
      </c>
      <c r="T307" s="5" t="str">
        <v>plays</v>
      </c>
    </row>
    <row r="308" spans="1:20" ht="33.75" x14ac:dyDescent="0.4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 s="4">
        <f t="shared" si="16"/>
        <v>7.9076923076923071</v>
      </c>
      <c r="K308">
        <v>1500008400</v>
      </c>
      <c r="L308" s="5">
        <f t="shared" si="17"/>
        <v>73.428571428571431</v>
      </c>
      <c r="M308">
        <v>1500267600</v>
      </c>
      <c r="N308" s="9">
        <f t="shared" si="18"/>
        <v>42930.208333333328</v>
      </c>
      <c r="O308" s="9">
        <f t="shared" si="19"/>
        <v>42933.208333333328</v>
      </c>
      <c r="P308" t="b">
        <v>0</v>
      </c>
      <c r="Q308" t="b">
        <v>1</v>
      </c>
      <c r="R308" t="s">
        <v>33</v>
      </c>
      <c r="S308" s="5" t="str" cm="1">
        <f t="array" ref="S308:T308">_xlfn.TEXTSPLIT(R308, "/")</f>
        <v>theater</v>
      </c>
      <c r="T308" s="5" t="str">
        <v>plays</v>
      </c>
    </row>
    <row r="309" spans="1:20" ht="19.5" x14ac:dyDescent="0.4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 s="4">
        <f t="shared" si="16"/>
        <v>132.13677811550153</v>
      </c>
      <c r="K309">
        <v>1338958800</v>
      </c>
      <c r="L309" s="5">
        <f t="shared" si="17"/>
        <v>65.968133535660087</v>
      </c>
      <c r="M309">
        <v>1340686800</v>
      </c>
      <c r="N309" s="9">
        <f t="shared" si="18"/>
        <v>41066.208333333336</v>
      </c>
      <c r="O309" s="9">
        <f t="shared" si="19"/>
        <v>41086.208333333336</v>
      </c>
      <c r="P309" t="b">
        <v>0</v>
      </c>
      <c r="Q309" t="b">
        <v>1</v>
      </c>
      <c r="R309" t="s">
        <v>119</v>
      </c>
      <c r="S309" s="5" t="str" cm="1">
        <f t="array" ref="S309:T309">_xlfn.TEXTSPLIT(R309, "/")</f>
        <v>publishing</v>
      </c>
      <c r="T309" s="5" t="str">
        <v>fiction</v>
      </c>
    </row>
    <row r="310" spans="1:20" ht="19.5" x14ac:dyDescent="0.4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 s="4">
        <f t="shared" si="16"/>
        <v>74.077834179357026</v>
      </c>
      <c r="K310">
        <v>1303102800</v>
      </c>
      <c r="L310" s="5">
        <f t="shared" si="17"/>
        <v>109.04109589041096</v>
      </c>
      <c r="M310">
        <v>1303189200</v>
      </c>
      <c r="N310" s="9">
        <f t="shared" si="18"/>
        <v>40651.208333333336</v>
      </c>
      <c r="O310" s="9">
        <f t="shared" si="19"/>
        <v>40652.208333333336</v>
      </c>
      <c r="P310" t="b">
        <v>0</v>
      </c>
      <c r="Q310" t="b">
        <v>0</v>
      </c>
      <c r="R310" t="s">
        <v>33</v>
      </c>
      <c r="S310" s="5" t="str" cm="1">
        <f t="array" ref="S310:T310">_xlfn.TEXTSPLIT(R310, "/")</f>
        <v>theater</v>
      </c>
      <c r="T310" s="5" t="str">
        <v>plays</v>
      </c>
    </row>
    <row r="311" spans="1:20" ht="19.5" x14ac:dyDescent="0.4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 s="4">
        <f t="shared" si="16"/>
        <v>75.292682926829272</v>
      </c>
      <c r="K311">
        <v>1316581200</v>
      </c>
      <c r="L311" s="5">
        <f t="shared" si="17"/>
        <v>41.16</v>
      </c>
      <c r="M311">
        <v>1318309200</v>
      </c>
      <c r="N311" s="9">
        <f t="shared" si="18"/>
        <v>40807.208333333336</v>
      </c>
      <c r="O311" s="9">
        <f t="shared" si="19"/>
        <v>40827.208333333336</v>
      </c>
      <c r="P311" t="b">
        <v>0</v>
      </c>
      <c r="Q311" t="b">
        <v>1</v>
      </c>
      <c r="R311" t="s">
        <v>60</v>
      </c>
      <c r="S311" s="5" t="str" cm="1">
        <f t="array" ref="S311:T311">_xlfn.TEXTSPLIT(R311, "/")</f>
        <v>music</v>
      </c>
      <c r="T311" s="5" t="str">
        <v>indie rock</v>
      </c>
    </row>
    <row r="312" spans="1:20" ht="19.5" x14ac:dyDescent="0.4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 s="4">
        <f t="shared" si="16"/>
        <v>20.333333333333332</v>
      </c>
      <c r="K312">
        <v>1270789200</v>
      </c>
      <c r="L312" s="5">
        <f t="shared" si="17"/>
        <v>99.125</v>
      </c>
      <c r="M312">
        <v>1272171600</v>
      </c>
      <c r="N312" s="9">
        <f t="shared" si="18"/>
        <v>40277.208333333336</v>
      </c>
      <c r="O312" s="9">
        <f t="shared" si="19"/>
        <v>40293.208333333336</v>
      </c>
      <c r="P312" t="b">
        <v>0</v>
      </c>
      <c r="Q312" t="b">
        <v>0</v>
      </c>
      <c r="R312" t="s">
        <v>89</v>
      </c>
      <c r="S312" s="5" t="str" cm="1">
        <f t="array" ref="S312:T312">_xlfn.TEXTSPLIT(R312, "/")</f>
        <v>games</v>
      </c>
      <c r="T312" s="5" t="str">
        <v>video games</v>
      </c>
    </row>
    <row r="313" spans="1:20" ht="19.5" x14ac:dyDescent="0.4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 s="4">
        <f t="shared" si="16"/>
        <v>203.36507936507937</v>
      </c>
      <c r="K313">
        <v>1297836000</v>
      </c>
      <c r="L313" s="5">
        <f t="shared" si="17"/>
        <v>105.88429752066116</v>
      </c>
      <c r="M313">
        <v>1298872800</v>
      </c>
      <c r="N313" s="9">
        <f t="shared" si="18"/>
        <v>40590.25</v>
      </c>
      <c r="O313" s="9">
        <f t="shared" si="19"/>
        <v>40602.25</v>
      </c>
      <c r="P313" t="b">
        <v>0</v>
      </c>
      <c r="Q313" t="b">
        <v>0</v>
      </c>
      <c r="R313" t="s">
        <v>33</v>
      </c>
      <c r="S313" s="5" t="str" cm="1">
        <f t="array" ref="S313:T313">_xlfn.TEXTSPLIT(R313, "/")</f>
        <v>theater</v>
      </c>
      <c r="T313" s="5" t="str">
        <v>plays</v>
      </c>
    </row>
    <row r="314" spans="1:20" ht="19.5" x14ac:dyDescent="0.4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 s="4">
        <f t="shared" si="16"/>
        <v>310.2284263959391</v>
      </c>
      <c r="K314">
        <v>1382677200</v>
      </c>
      <c r="L314" s="5">
        <f t="shared" si="17"/>
        <v>48.996525921966864</v>
      </c>
      <c r="M314">
        <v>1383282000</v>
      </c>
      <c r="N314" s="9">
        <f t="shared" si="18"/>
        <v>41572.208333333336</v>
      </c>
      <c r="O314" s="9">
        <f t="shared" si="19"/>
        <v>41579.208333333336</v>
      </c>
      <c r="P314" t="b">
        <v>0</v>
      </c>
      <c r="Q314" t="b">
        <v>0</v>
      </c>
      <c r="R314" t="s">
        <v>33</v>
      </c>
      <c r="S314" s="5" t="str" cm="1">
        <f t="array" ref="S314:T314">_xlfn.TEXTSPLIT(R314, "/")</f>
        <v>theater</v>
      </c>
      <c r="T314" s="5" t="str">
        <v>plays</v>
      </c>
    </row>
    <row r="315" spans="1:20" ht="19.5" x14ac:dyDescent="0.4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 s="4">
        <f t="shared" si="16"/>
        <v>395.31818181818181</v>
      </c>
      <c r="K315">
        <v>1330322400</v>
      </c>
      <c r="L315" s="5">
        <f t="shared" si="17"/>
        <v>39</v>
      </c>
      <c r="M315">
        <v>1330495200</v>
      </c>
      <c r="N315" s="9">
        <f t="shared" si="18"/>
        <v>40966.25</v>
      </c>
      <c r="O315" s="9">
        <f t="shared" si="19"/>
        <v>40968.25</v>
      </c>
      <c r="P315" t="b">
        <v>0</v>
      </c>
      <c r="Q315" t="b">
        <v>0</v>
      </c>
      <c r="R315" t="s">
        <v>23</v>
      </c>
      <c r="S315" s="5" t="str" cm="1">
        <f t="array" ref="S315:T315">_xlfn.TEXTSPLIT(R315, "/")</f>
        <v>music</v>
      </c>
      <c r="T315" s="5" t="str">
        <v>rock</v>
      </c>
    </row>
    <row r="316" spans="1:20" ht="19.5" x14ac:dyDescent="0.4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 s="4">
        <f t="shared" si="16"/>
        <v>294.71428571428572</v>
      </c>
      <c r="K316">
        <v>1552366800</v>
      </c>
      <c r="L316" s="5">
        <f t="shared" si="17"/>
        <v>31.022556390977442</v>
      </c>
      <c r="M316">
        <v>1552798800</v>
      </c>
      <c r="N316" s="9">
        <f t="shared" si="18"/>
        <v>43536.208333333328</v>
      </c>
      <c r="O316" s="9">
        <f t="shared" si="19"/>
        <v>43541.208333333328</v>
      </c>
      <c r="P316" t="b">
        <v>0</v>
      </c>
      <c r="Q316" t="b">
        <v>1</v>
      </c>
      <c r="R316" t="s">
        <v>42</v>
      </c>
      <c r="S316" s="5" t="str" cm="1">
        <f t="array" ref="S316:T316">_xlfn.TEXTSPLIT(R316, "/")</f>
        <v>film &amp; video</v>
      </c>
      <c r="T316" s="5" t="str">
        <v>documentary</v>
      </c>
    </row>
    <row r="317" spans="1:20" ht="33.75" x14ac:dyDescent="0.4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 s="4">
        <f t="shared" si="16"/>
        <v>33.89473684210526</v>
      </c>
      <c r="K317">
        <v>1400907600</v>
      </c>
      <c r="L317" s="5">
        <f t="shared" si="17"/>
        <v>103.87096774193549</v>
      </c>
      <c r="M317">
        <v>1403413200</v>
      </c>
      <c r="N317" s="9">
        <f t="shared" si="18"/>
        <v>41783.208333333336</v>
      </c>
      <c r="O317" s="9">
        <f t="shared" si="19"/>
        <v>41812.208333333336</v>
      </c>
      <c r="P317" t="b">
        <v>0</v>
      </c>
      <c r="Q317" t="b">
        <v>0</v>
      </c>
      <c r="R317" t="s">
        <v>33</v>
      </c>
      <c r="S317" s="5" t="str" cm="1">
        <f t="array" ref="S317:T317">_xlfn.TEXTSPLIT(R317, "/")</f>
        <v>theater</v>
      </c>
      <c r="T317" s="5" t="str">
        <v>plays</v>
      </c>
    </row>
    <row r="318" spans="1:20" ht="19.5" x14ac:dyDescent="0.4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 s="4">
        <f t="shared" si="16"/>
        <v>66.677083333333329</v>
      </c>
      <c r="K318">
        <v>1574143200</v>
      </c>
      <c r="L318" s="5">
        <f t="shared" si="17"/>
        <v>59.268518518518519</v>
      </c>
      <c r="M318">
        <v>1574229600</v>
      </c>
      <c r="N318" s="9">
        <f t="shared" si="18"/>
        <v>43788.25</v>
      </c>
      <c r="O318" s="9">
        <f t="shared" si="19"/>
        <v>43789.25</v>
      </c>
      <c r="P318" t="b">
        <v>0</v>
      </c>
      <c r="Q318" t="b">
        <v>1</v>
      </c>
      <c r="R318" t="s">
        <v>17</v>
      </c>
      <c r="S318" s="5" t="str" cm="1">
        <f t="array" ref="S318:T318">_xlfn.TEXTSPLIT(R318, "/")</f>
        <v>food</v>
      </c>
      <c r="T318" s="5" t="str">
        <v>food trucks</v>
      </c>
    </row>
    <row r="319" spans="1:20" ht="19.5" x14ac:dyDescent="0.4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 s="4">
        <f t="shared" si="16"/>
        <v>19.227272727272727</v>
      </c>
      <c r="K319">
        <v>1494738000</v>
      </c>
      <c r="L319" s="5">
        <f t="shared" si="17"/>
        <v>42.3</v>
      </c>
      <c r="M319">
        <v>1495861200</v>
      </c>
      <c r="N319" s="9">
        <f t="shared" si="18"/>
        <v>42869.208333333328</v>
      </c>
      <c r="O319" s="9">
        <f t="shared" si="19"/>
        <v>42882.208333333328</v>
      </c>
      <c r="P319" t="b">
        <v>0</v>
      </c>
      <c r="Q319" t="b">
        <v>0</v>
      </c>
      <c r="R319" t="s">
        <v>33</v>
      </c>
      <c r="S319" s="5" t="str" cm="1">
        <f t="array" ref="S319:T319">_xlfn.TEXTSPLIT(R319, "/")</f>
        <v>theater</v>
      </c>
      <c r="T319" s="5" t="str">
        <v>plays</v>
      </c>
    </row>
    <row r="320" spans="1:20" ht="33.75" x14ac:dyDescent="0.4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 s="4">
        <f t="shared" si="16"/>
        <v>15.842105263157894</v>
      </c>
      <c r="K320">
        <v>1392357600</v>
      </c>
      <c r="L320" s="5">
        <f t="shared" si="17"/>
        <v>53.117647058823529</v>
      </c>
      <c r="M320">
        <v>1392530400</v>
      </c>
      <c r="N320" s="9">
        <f t="shared" si="18"/>
        <v>41684.25</v>
      </c>
      <c r="O320" s="9">
        <f t="shared" si="19"/>
        <v>41686.25</v>
      </c>
      <c r="P320" t="b">
        <v>0</v>
      </c>
      <c r="Q320" t="b">
        <v>0</v>
      </c>
      <c r="R320" t="s">
        <v>23</v>
      </c>
      <c r="S320" s="5" t="str" cm="1">
        <f t="array" ref="S320:T320">_xlfn.TEXTSPLIT(R320, "/")</f>
        <v>music</v>
      </c>
      <c r="T320" s="5" t="str">
        <v>rock</v>
      </c>
    </row>
    <row r="321" spans="1:20" ht="19.5" x14ac:dyDescent="0.4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 s="4">
        <f t="shared" si="16"/>
        <v>38.702380952380956</v>
      </c>
      <c r="K321">
        <v>1281589200</v>
      </c>
      <c r="L321" s="5">
        <f t="shared" si="17"/>
        <v>50.796875</v>
      </c>
      <c r="M321">
        <v>1283662800</v>
      </c>
      <c r="N321" s="9">
        <f t="shared" si="18"/>
        <v>40402.208333333336</v>
      </c>
      <c r="O321" s="9">
        <f t="shared" si="19"/>
        <v>40426.208333333336</v>
      </c>
      <c r="P321" t="b">
        <v>0</v>
      </c>
      <c r="Q321" t="b">
        <v>0</v>
      </c>
      <c r="R321" t="s">
        <v>28</v>
      </c>
      <c r="S321" s="5" t="str" cm="1">
        <f t="array" ref="S321:T321">_xlfn.TEXTSPLIT(R321, "/")</f>
        <v>technology</v>
      </c>
      <c r="T321" s="5" t="str">
        <v>web</v>
      </c>
    </row>
    <row r="322" spans="1:20" ht="19.5" x14ac:dyDescent="0.4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 s="4">
        <f t="shared" si="16"/>
        <v>9.5876777251184837</v>
      </c>
      <c r="K322">
        <v>1305003600</v>
      </c>
      <c r="L322" s="5">
        <f t="shared" si="17"/>
        <v>101.15</v>
      </c>
      <c r="M322">
        <v>1305781200</v>
      </c>
      <c r="N322" s="9">
        <f t="shared" si="18"/>
        <v>40673.208333333336</v>
      </c>
      <c r="O322" s="9">
        <f t="shared" si="19"/>
        <v>40682.208333333336</v>
      </c>
      <c r="P322" t="b">
        <v>0</v>
      </c>
      <c r="Q322" t="b">
        <v>0</v>
      </c>
      <c r="R322" t="s">
        <v>119</v>
      </c>
      <c r="S322" s="5" t="str" cm="1">
        <f t="array" ref="S322:T322">_xlfn.TEXTSPLIT(R322, "/")</f>
        <v>publishing</v>
      </c>
      <c r="T322" s="5" t="str">
        <v>fiction</v>
      </c>
    </row>
    <row r="323" spans="1:20" ht="33.75" x14ac:dyDescent="0.4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 s="4">
        <f t="shared" ref="J323:J386" si="20">(E323/D323*100)</f>
        <v>94.144366197183089</v>
      </c>
      <c r="K323">
        <v>1301634000</v>
      </c>
      <c r="L323" s="5">
        <f t="shared" ref="L323:L386" si="21">E323/G323</f>
        <v>65.000810372771468</v>
      </c>
      <c r="M323">
        <v>1302325200</v>
      </c>
      <c r="N323" s="9">
        <f t="shared" ref="N323:N386" si="22">(((K323/60)/60)/24)+DATE(1970,1,1)</f>
        <v>40634.208333333336</v>
      </c>
      <c r="O323" s="9">
        <f t="shared" ref="O323:O386" si="23">(((M323/60)/60)/24)+DATE(1970,1,1)</f>
        <v>40642.208333333336</v>
      </c>
      <c r="P323" t="b">
        <v>0</v>
      </c>
      <c r="Q323" t="b">
        <v>0</v>
      </c>
      <c r="R323" t="s">
        <v>100</v>
      </c>
      <c r="S323" s="5" t="str" cm="1">
        <f t="array" ref="S323:T323">_xlfn.TEXTSPLIT(R323, "/")</f>
        <v>film &amp; video</v>
      </c>
      <c r="T323" s="5" t="str">
        <v>shorts</v>
      </c>
    </row>
    <row r="324" spans="1:20" ht="33.75" x14ac:dyDescent="0.4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 s="4">
        <f t="shared" si="20"/>
        <v>166.56234096692114</v>
      </c>
      <c r="K324">
        <v>1290664800</v>
      </c>
      <c r="L324" s="5">
        <f t="shared" si="21"/>
        <v>37.998645510835914</v>
      </c>
      <c r="M324">
        <v>1291788000</v>
      </c>
      <c r="N324" s="9">
        <f t="shared" si="22"/>
        <v>40507.25</v>
      </c>
      <c r="O324" s="9">
        <f t="shared" si="23"/>
        <v>40520.25</v>
      </c>
      <c r="P324" t="b">
        <v>0</v>
      </c>
      <c r="Q324" t="b">
        <v>0</v>
      </c>
      <c r="R324" t="s">
        <v>33</v>
      </c>
      <c r="S324" s="5" t="str" cm="1">
        <f t="array" ref="S324:T324">_xlfn.TEXTSPLIT(R324, "/")</f>
        <v>theater</v>
      </c>
      <c r="T324" s="5" t="str">
        <v>plays</v>
      </c>
    </row>
    <row r="325" spans="1:20" ht="19.5" x14ac:dyDescent="0.4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 s="4">
        <f t="shared" si="20"/>
        <v>24.134831460674157</v>
      </c>
      <c r="K325">
        <v>1395896400</v>
      </c>
      <c r="L325" s="5">
        <f t="shared" si="21"/>
        <v>82.615384615384613</v>
      </c>
      <c r="M325">
        <v>1396069200</v>
      </c>
      <c r="N325" s="9">
        <f t="shared" si="22"/>
        <v>41725.208333333336</v>
      </c>
      <c r="O325" s="9">
        <f t="shared" si="23"/>
        <v>41727.208333333336</v>
      </c>
      <c r="P325" t="b">
        <v>0</v>
      </c>
      <c r="Q325" t="b">
        <v>0</v>
      </c>
      <c r="R325" t="s">
        <v>42</v>
      </c>
      <c r="S325" s="5" t="str" cm="1">
        <f t="array" ref="S325:T325">_xlfn.TEXTSPLIT(R325, "/")</f>
        <v>film &amp; video</v>
      </c>
      <c r="T325" s="5" t="str">
        <v>documentary</v>
      </c>
    </row>
    <row r="326" spans="1:20" ht="19.5" x14ac:dyDescent="0.4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 s="4">
        <f t="shared" si="20"/>
        <v>164.05633802816902</v>
      </c>
      <c r="K326">
        <v>1434862800</v>
      </c>
      <c r="L326" s="5">
        <f t="shared" si="21"/>
        <v>37.941368078175898</v>
      </c>
      <c r="M326">
        <v>1435899600</v>
      </c>
      <c r="N326" s="9">
        <f t="shared" si="22"/>
        <v>42176.208333333328</v>
      </c>
      <c r="O326" s="9">
        <f t="shared" si="23"/>
        <v>42188.208333333328</v>
      </c>
      <c r="P326" t="b">
        <v>0</v>
      </c>
      <c r="Q326" t="b">
        <v>1</v>
      </c>
      <c r="R326" t="s">
        <v>33</v>
      </c>
      <c r="S326" s="5" t="str" cm="1">
        <f t="array" ref="S326:T326">_xlfn.TEXTSPLIT(R326, "/")</f>
        <v>theater</v>
      </c>
      <c r="T326" s="5" t="str">
        <v>plays</v>
      </c>
    </row>
    <row r="327" spans="1:20" ht="33.75" x14ac:dyDescent="0.4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 s="4">
        <f t="shared" si="20"/>
        <v>90.723076923076931</v>
      </c>
      <c r="K327">
        <v>1529125200</v>
      </c>
      <c r="L327" s="5">
        <f t="shared" si="21"/>
        <v>80.780821917808225</v>
      </c>
      <c r="M327">
        <v>1531112400</v>
      </c>
      <c r="N327" s="9">
        <f t="shared" si="22"/>
        <v>43267.208333333328</v>
      </c>
      <c r="O327" s="9">
        <f t="shared" si="23"/>
        <v>43290.208333333328</v>
      </c>
      <c r="P327" t="b">
        <v>0</v>
      </c>
      <c r="Q327" t="b">
        <v>1</v>
      </c>
      <c r="R327" t="s">
        <v>33</v>
      </c>
      <c r="S327" s="5" t="str" cm="1">
        <f t="array" ref="S327:T327">_xlfn.TEXTSPLIT(R327, "/")</f>
        <v>theater</v>
      </c>
      <c r="T327" s="5" t="str">
        <v>plays</v>
      </c>
    </row>
    <row r="328" spans="1:20" ht="33.75" x14ac:dyDescent="0.4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 s="4">
        <f t="shared" si="20"/>
        <v>46.194444444444443</v>
      </c>
      <c r="K328">
        <v>1451109600</v>
      </c>
      <c r="L328" s="5">
        <f t="shared" si="21"/>
        <v>25.984375</v>
      </c>
      <c r="M328">
        <v>1451628000</v>
      </c>
      <c r="N328" s="9">
        <f t="shared" si="22"/>
        <v>42364.25</v>
      </c>
      <c r="O328" s="9">
        <f t="shared" si="23"/>
        <v>42370.25</v>
      </c>
      <c r="P328" t="b">
        <v>0</v>
      </c>
      <c r="Q328" t="b">
        <v>0</v>
      </c>
      <c r="R328" t="s">
        <v>71</v>
      </c>
      <c r="S328" s="5" t="str" cm="1">
        <f t="array" ref="S328:T328">_xlfn.TEXTSPLIT(R328, "/")</f>
        <v>film &amp; video</v>
      </c>
      <c r="T328" s="5" t="str">
        <v>animation</v>
      </c>
    </row>
    <row r="329" spans="1:20" ht="19.5" x14ac:dyDescent="0.4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 s="4">
        <f t="shared" si="20"/>
        <v>38.53846153846154</v>
      </c>
      <c r="K329">
        <v>1566968400</v>
      </c>
      <c r="L329" s="5">
        <f t="shared" si="21"/>
        <v>30.363636363636363</v>
      </c>
      <c r="M329">
        <v>1567314000</v>
      </c>
      <c r="N329" s="9">
        <f t="shared" si="22"/>
        <v>43705.208333333328</v>
      </c>
      <c r="O329" s="9">
        <f t="shared" si="23"/>
        <v>43709.208333333328</v>
      </c>
      <c r="P329" t="b">
        <v>0</v>
      </c>
      <c r="Q329" t="b">
        <v>1</v>
      </c>
      <c r="R329" t="s">
        <v>33</v>
      </c>
      <c r="S329" s="5" t="str" cm="1">
        <f t="array" ref="S329:T329">_xlfn.TEXTSPLIT(R329, "/")</f>
        <v>theater</v>
      </c>
      <c r="T329" s="5" t="str">
        <v>plays</v>
      </c>
    </row>
    <row r="330" spans="1:20" ht="33.75" x14ac:dyDescent="0.4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 s="4">
        <f t="shared" si="20"/>
        <v>133.56231003039514</v>
      </c>
      <c r="K330">
        <v>1543557600</v>
      </c>
      <c r="L330" s="5">
        <f t="shared" si="21"/>
        <v>54.004916018025398</v>
      </c>
      <c r="M330">
        <v>1544508000</v>
      </c>
      <c r="N330" s="9">
        <f t="shared" si="22"/>
        <v>43434.25</v>
      </c>
      <c r="O330" s="9">
        <f t="shared" si="23"/>
        <v>43445.25</v>
      </c>
      <c r="P330" t="b">
        <v>0</v>
      </c>
      <c r="Q330" t="b">
        <v>0</v>
      </c>
      <c r="R330" t="s">
        <v>23</v>
      </c>
      <c r="S330" s="5" t="str" cm="1">
        <f t="array" ref="S330:T330">_xlfn.TEXTSPLIT(R330, "/")</f>
        <v>music</v>
      </c>
      <c r="T330" s="5" t="str">
        <v>rock</v>
      </c>
    </row>
    <row r="331" spans="1:20" ht="19.5" x14ac:dyDescent="0.4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 s="4">
        <f t="shared" si="20"/>
        <v>22.896588486140725</v>
      </c>
      <c r="K331">
        <v>1481522400</v>
      </c>
      <c r="L331" s="5">
        <f t="shared" si="21"/>
        <v>101.78672985781991</v>
      </c>
      <c r="M331">
        <v>1482472800</v>
      </c>
      <c r="N331" s="9">
        <f t="shared" si="22"/>
        <v>42716.25</v>
      </c>
      <c r="O331" s="9">
        <f t="shared" si="23"/>
        <v>42727.25</v>
      </c>
      <c r="P331" t="b">
        <v>0</v>
      </c>
      <c r="Q331" t="b">
        <v>0</v>
      </c>
      <c r="R331" t="s">
        <v>89</v>
      </c>
      <c r="S331" s="5" t="str" cm="1">
        <f t="array" ref="S331:T331">_xlfn.TEXTSPLIT(R331, "/")</f>
        <v>games</v>
      </c>
      <c r="T331" s="5" t="str">
        <v>video games</v>
      </c>
    </row>
    <row r="332" spans="1:20" ht="33.75" x14ac:dyDescent="0.4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 s="4">
        <f t="shared" si="20"/>
        <v>184.95548961424333</v>
      </c>
      <c r="K332">
        <v>1512712800</v>
      </c>
      <c r="L332" s="5">
        <f t="shared" si="21"/>
        <v>45.003610108303249</v>
      </c>
      <c r="M332">
        <v>1512799200</v>
      </c>
      <c r="N332" s="9">
        <f t="shared" si="22"/>
        <v>43077.25</v>
      </c>
      <c r="O332" s="9">
        <f t="shared" si="23"/>
        <v>43078.25</v>
      </c>
      <c r="P332" t="b">
        <v>0</v>
      </c>
      <c r="Q332" t="b">
        <v>0</v>
      </c>
      <c r="R332" t="s">
        <v>42</v>
      </c>
      <c r="S332" s="5" t="str" cm="1">
        <f t="array" ref="S332:T332">_xlfn.TEXTSPLIT(R332, "/")</f>
        <v>film &amp; video</v>
      </c>
      <c r="T332" s="5" t="str">
        <v>documentary</v>
      </c>
    </row>
    <row r="333" spans="1:20" ht="19.5" x14ac:dyDescent="0.4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 s="4">
        <f t="shared" si="20"/>
        <v>443.72727272727275</v>
      </c>
      <c r="K333">
        <v>1324274400</v>
      </c>
      <c r="L333" s="5">
        <f t="shared" si="21"/>
        <v>77.068421052631578</v>
      </c>
      <c r="M333">
        <v>1324360800</v>
      </c>
      <c r="N333" s="9">
        <f t="shared" si="22"/>
        <v>40896.25</v>
      </c>
      <c r="O333" s="9">
        <f t="shared" si="23"/>
        <v>40897.25</v>
      </c>
      <c r="P333" t="b">
        <v>0</v>
      </c>
      <c r="Q333" t="b">
        <v>0</v>
      </c>
      <c r="R333" t="s">
        <v>17</v>
      </c>
      <c r="S333" s="5" t="str" cm="1">
        <f t="array" ref="S333:T333">_xlfn.TEXTSPLIT(R333, "/")</f>
        <v>food</v>
      </c>
      <c r="T333" s="5" t="str">
        <v>food trucks</v>
      </c>
    </row>
    <row r="334" spans="1:20" ht="33.75" x14ac:dyDescent="0.4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 s="4">
        <f t="shared" si="20"/>
        <v>199.9806763285024</v>
      </c>
      <c r="K334">
        <v>1364446800</v>
      </c>
      <c r="L334" s="5">
        <f t="shared" si="21"/>
        <v>88.076595744680844</v>
      </c>
      <c r="M334">
        <v>1364533200</v>
      </c>
      <c r="N334" s="9">
        <f t="shared" si="22"/>
        <v>41361.208333333336</v>
      </c>
      <c r="O334" s="9">
        <f t="shared" si="23"/>
        <v>41362.208333333336</v>
      </c>
      <c r="P334" t="b">
        <v>0</v>
      </c>
      <c r="Q334" t="b">
        <v>0</v>
      </c>
      <c r="R334" t="s">
        <v>65</v>
      </c>
      <c r="S334" s="5" t="str" cm="1">
        <f t="array" ref="S334:T334">_xlfn.TEXTSPLIT(R334, "/")</f>
        <v>technology</v>
      </c>
      <c r="T334" s="5" t="str">
        <v>wearables</v>
      </c>
    </row>
    <row r="335" spans="1:20" ht="19.5" x14ac:dyDescent="0.4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 s="4">
        <f t="shared" si="20"/>
        <v>123.95833333333333</v>
      </c>
      <c r="K335">
        <v>1542693600</v>
      </c>
      <c r="L335" s="5">
        <f t="shared" si="21"/>
        <v>47.035573122529641</v>
      </c>
      <c r="M335">
        <v>1545112800</v>
      </c>
      <c r="N335" s="9">
        <f t="shared" si="22"/>
        <v>43424.25</v>
      </c>
      <c r="O335" s="9">
        <f t="shared" si="23"/>
        <v>43452.25</v>
      </c>
      <c r="P335" t="b">
        <v>0</v>
      </c>
      <c r="Q335" t="b">
        <v>0</v>
      </c>
      <c r="R335" t="s">
        <v>33</v>
      </c>
      <c r="S335" s="5" t="str" cm="1">
        <f t="array" ref="S335:T335">_xlfn.TEXTSPLIT(R335, "/")</f>
        <v>theater</v>
      </c>
      <c r="T335" s="5" t="str">
        <v>plays</v>
      </c>
    </row>
    <row r="336" spans="1:20" ht="19.5" x14ac:dyDescent="0.4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 s="4">
        <f t="shared" si="20"/>
        <v>186.61329305135951</v>
      </c>
      <c r="K336">
        <v>1515564000</v>
      </c>
      <c r="L336" s="5">
        <f t="shared" si="21"/>
        <v>110.99550763701707</v>
      </c>
      <c r="M336">
        <v>1516168800</v>
      </c>
      <c r="N336" s="9">
        <f t="shared" si="22"/>
        <v>43110.25</v>
      </c>
      <c r="O336" s="9">
        <f t="shared" si="23"/>
        <v>43117.25</v>
      </c>
      <c r="P336" t="b">
        <v>0</v>
      </c>
      <c r="Q336" t="b">
        <v>0</v>
      </c>
      <c r="R336" t="s">
        <v>23</v>
      </c>
      <c r="S336" s="5" t="str" cm="1">
        <f t="array" ref="S336:T336">_xlfn.TEXTSPLIT(R336, "/")</f>
        <v>music</v>
      </c>
      <c r="T336" s="5" t="str">
        <v>rock</v>
      </c>
    </row>
    <row r="337" spans="1:20" ht="19.5" x14ac:dyDescent="0.4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 s="4">
        <f t="shared" si="20"/>
        <v>114.28538550057536</v>
      </c>
      <c r="K337">
        <v>1573797600</v>
      </c>
      <c r="L337" s="5">
        <f t="shared" si="21"/>
        <v>87.003066141042481</v>
      </c>
      <c r="M337">
        <v>1574920800</v>
      </c>
      <c r="N337" s="9">
        <f t="shared" si="22"/>
        <v>43784.25</v>
      </c>
      <c r="O337" s="9">
        <f t="shared" si="23"/>
        <v>43797.25</v>
      </c>
      <c r="P337" t="b">
        <v>0</v>
      </c>
      <c r="Q337" t="b">
        <v>0</v>
      </c>
      <c r="R337" t="s">
        <v>23</v>
      </c>
      <c r="S337" s="5" t="str" cm="1">
        <f t="array" ref="S337:T337">_xlfn.TEXTSPLIT(R337, "/")</f>
        <v>music</v>
      </c>
      <c r="T337" s="5" t="str">
        <v>rock</v>
      </c>
    </row>
    <row r="338" spans="1:20" ht="19.5" x14ac:dyDescent="0.4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 s="4">
        <f t="shared" si="20"/>
        <v>97.032531824611041</v>
      </c>
      <c r="K338">
        <v>1292392800</v>
      </c>
      <c r="L338" s="5">
        <f t="shared" si="21"/>
        <v>63.994402985074629</v>
      </c>
      <c r="M338">
        <v>1292479200</v>
      </c>
      <c r="N338" s="9">
        <f t="shared" si="22"/>
        <v>40527.25</v>
      </c>
      <c r="O338" s="9">
        <f t="shared" si="23"/>
        <v>40528.25</v>
      </c>
      <c r="P338" t="b">
        <v>0</v>
      </c>
      <c r="Q338" t="b">
        <v>1</v>
      </c>
      <c r="R338" t="s">
        <v>23</v>
      </c>
      <c r="S338" s="5" t="str" cm="1">
        <f t="array" ref="S338:T338">_xlfn.TEXTSPLIT(R338, "/")</f>
        <v>music</v>
      </c>
      <c r="T338" s="5" t="str">
        <v>rock</v>
      </c>
    </row>
    <row r="339" spans="1:20" ht="19.5" x14ac:dyDescent="0.4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 s="4">
        <f t="shared" si="20"/>
        <v>122.81904761904762</v>
      </c>
      <c r="K339">
        <v>1573452000</v>
      </c>
      <c r="L339" s="5">
        <f t="shared" si="21"/>
        <v>105.9945205479452</v>
      </c>
      <c r="M339">
        <v>1573538400</v>
      </c>
      <c r="N339" s="9">
        <f t="shared" si="22"/>
        <v>43780.25</v>
      </c>
      <c r="O339" s="9">
        <f t="shared" si="23"/>
        <v>43781.25</v>
      </c>
      <c r="P339" t="b">
        <v>0</v>
      </c>
      <c r="Q339" t="b">
        <v>0</v>
      </c>
      <c r="R339" t="s">
        <v>33</v>
      </c>
      <c r="S339" s="5" t="str" cm="1">
        <f t="array" ref="S339:T339">_xlfn.TEXTSPLIT(R339, "/")</f>
        <v>theater</v>
      </c>
      <c r="T339" s="5" t="str">
        <v>plays</v>
      </c>
    </row>
    <row r="340" spans="1:20" ht="19.5" x14ac:dyDescent="0.4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 s="4">
        <f t="shared" si="20"/>
        <v>179.14326647564468</v>
      </c>
      <c r="K340">
        <v>1317790800</v>
      </c>
      <c r="L340" s="5">
        <f t="shared" si="21"/>
        <v>73.989349112426041</v>
      </c>
      <c r="M340">
        <v>1320382800</v>
      </c>
      <c r="N340" s="9">
        <f t="shared" si="22"/>
        <v>40821.208333333336</v>
      </c>
      <c r="O340" s="9">
        <f t="shared" si="23"/>
        <v>40851.208333333336</v>
      </c>
      <c r="P340" t="b">
        <v>0</v>
      </c>
      <c r="Q340" t="b">
        <v>0</v>
      </c>
      <c r="R340" t="s">
        <v>33</v>
      </c>
      <c r="S340" s="5" t="str" cm="1">
        <f t="array" ref="S340:T340">_xlfn.TEXTSPLIT(R340, "/")</f>
        <v>theater</v>
      </c>
      <c r="T340" s="5" t="str">
        <v>plays</v>
      </c>
    </row>
    <row r="341" spans="1:20" ht="19.5" x14ac:dyDescent="0.4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 s="4">
        <f t="shared" si="20"/>
        <v>79.951577402787962</v>
      </c>
      <c r="K341">
        <v>1501650000</v>
      </c>
      <c r="L341" s="5">
        <f t="shared" si="21"/>
        <v>84.02004626060139</v>
      </c>
      <c r="M341">
        <v>1502859600</v>
      </c>
      <c r="N341" s="9">
        <f t="shared" si="22"/>
        <v>42949.208333333328</v>
      </c>
      <c r="O341" s="9">
        <f t="shared" si="23"/>
        <v>42963.208333333328</v>
      </c>
      <c r="P341" t="b">
        <v>0</v>
      </c>
      <c r="Q341" t="b">
        <v>0</v>
      </c>
      <c r="R341" t="s">
        <v>33</v>
      </c>
      <c r="S341" s="5" t="str" cm="1">
        <f t="array" ref="S341:T341">_xlfn.TEXTSPLIT(R341, "/")</f>
        <v>theater</v>
      </c>
      <c r="T341" s="5" t="str">
        <v>plays</v>
      </c>
    </row>
    <row r="342" spans="1:20" ht="19.5" x14ac:dyDescent="0.4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 s="4">
        <f t="shared" si="20"/>
        <v>94.242587601078171</v>
      </c>
      <c r="K342">
        <v>1323669600</v>
      </c>
      <c r="L342" s="5">
        <f t="shared" si="21"/>
        <v>88.966921119592882</v>
      </c>
      <c r="M342">
        <v>1323756000</v>
      </c>
      <c r="N342" s="9">
        <f t="shared" si="22"/>
        <v>40889.25</v>
      </c>
      <c r="O342" s="9">
        <f t="shared" si="23"/>
        <v>40890.25</v>
      </c>
      <c r="P342" t="b">
        <v>0</v>
      </c>
      <c r="Q342" t="b">
        <v>0</v>
      </c>
      <c r="R342" t="s">
        <v>122</v>
      </c>
      <c r="S342" s="5" t="str" cm="1">
        <f t="array" ref="S342:T342">_xlfn.TEXTSPLIT(R342, "/")</f>
        <v>photography</v>
      </c>
      <c r="T342" s="5" t="str">
        <v>photography books</v>
      </c>
    </row>
    <row r="343" spans="1:20" ht="19.5" x14ac:dyDescent="0.4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 s="4">
        <f t="shared" si="20"/>
        <v>84.669291338582681</v>
      </c>
      <c r="K343">
        <v>1440738000</v>
      </c>
      <c r="L343" s="5">
        <f t="shared" si="21"/>
        <v>76.990453460620529</v>
      </c>
      <c r="M343">
        <v>1441342800</v>
      </c>
      <c r="N343" s="9">
        <f t="shared" si="22"/>
        <v>42244.208333333328</v>
      </c>
      <c r="O343" s="9">
        <f t="shared" si="23"/>
        <v>42251.208333333328</v>
      </c>
      <c r="P343" t="b">
        <v>0</v>
      </c>
      <c r="Q343" t="b">
        <v>0</v>
      </c>
      <c r="R343" t="s">
        <v>60</v>
      </c>
      <c r="S343" s="5" t="str" cm="1">
        <f t="array" ref="S343:T343">_xlfn.TEXTSPLIT(R343, "/")</f>
        <v>music</v>
      </c>
      <c r="T343" s="5" t="str">
        <v>indie rock</v>
      </c>
    </row>
    <row r="344" spans="1:20" ht="19.5" x14ac:dyDescent="0.4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 s="4">
        <f t="shared" si="20"/>
        <v>66.521920668058456</v>
      </c>
      <c r="K344">
        <v>1374296400</v>
      </c>
      <c r="L344" s="5">
        <f t="shared" si="21"/>
        <v>97.146341463414629</v>
      </c>
      <c r="M344">
        <v>1375333200</v>
      </c>
      <c r="N344" s="9">
        <f t="shared" si="22"/>
        <v>41475.208333333336</v>
      </c>
      <c r="O344" s="9">
        <f t="shared" si="23"/>
        <v>41487.208333333336</v>
      </c>
      <c r="P344" t="b">
        <v>0</v>
      </c>
      <c r="Q344" t="b">
        <v>0</v>
      </c>
      <c r="R344" t="s">
        <v>33</v>
      </c>
      <c r="S344" s="5" t="str" cm="1">
        <f t="array" ref="S344:T344">_xlfn.TEXTSPLIT(R344, "/")</f>
        <v>theater</v>
      </c>
      <c r="T344" s="5" t="str">
        <v>plays</v>
      </c>
    </row>
    <row r="345" spans="1:20" ht="19.5" x14ac:dyDescent="0.4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 s="4">
        <f t="shared" si="20"/>
        <v>53.922222222222224</v>
      </c>
      <c r="K345">
        <v>1384840800</v>
      </c>
      <c r="L345" s="5">
        <f t="shared" si="21"/>
        <v>33.013605442176868</v>
      </c>
      <c r="M345">
        <v>1389420000</v>
      </c>
      <c r="N345" s="9">
        <f t="shared" si="22"/>
        <v>41597.25</v>
      </c>
      <c r="O345" s="9">
        <f t="shared" si="23"/>
        <v>41650.25</v>
      </c>
      <c r="P345" t="b">
        <v>0</v>
      </c>
      <c r="Q345" t="b">
        <v>0</v>
      </c>
      <c r="R345" t="s">
        <v>33</v>
      </c>
      <c r="S345" s="5" t="str" cm="1">
        <f t="array" ref="S345:T345">_xlfn.TEXTSPLIT(R345, "/")</f>
        <v>theater</v>
      </c>
      <c r="T345" s="5" t="str">
        <v>plays</v>
      </c>
    </row>
    <row r="346" spans="1:20" ht="19.5" x14ac:dyDescent="0.4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 s="4">
        <f t="shared" si="20"/>
        <v>41.983299595141702</v>
      </c>
      <c r="K346">
        <v>1516600800</v>
      </c>
      <c r="L346" s="5">
        <f t="shared" si="21"/>
        <v>99.950602409638549</v>
      </c>
      <c r="M346">
        <v>1520056800</v>
      </c>
      <c r="N346" s="9">
        <f t="shared" si="22"/>
        <v>43122.25</v>
      </c>
      <c r="O346" s="9">
        <f t="shared" si="23"/>
        <v>43162.25</v>
      </c>
      <c r="P346" t="b">
        <v>0</v>
      </c>
      <c r="Q346" t="b">
        <v>0</v>
      </c>
      <c r="R346" t="s">
        <v>89</v>
      </c>
      <c r="S346" s="5" t="str" cm="1">
        <f t="array" ref="S346:T346">_xlfn.TEXTSPLIT(R346, "/")</f>
        <v>games</v>
      </c>
      <c r="T346" s="5" t="str">
        <v>video games</v>
      </c>
    </row>
    <row r="347" spans="1:20" ht="19.5" x14ac:dyDescent="0.4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 s="4">
        <f t="shared" si="20"/>
        <v>14.69479695431472</v>
      </c>
      <c r="K347">
        <v>1436418000</v>
      </c>
      <c r="L347" s="5">
        <f t="shared" si="21"/>
        <v>69.966767371601208</v>
      </c>
      <c r="M347">
        <v>1436504400</v>
      </c>
      <c r="N347" s="9">
        <f t="shared" si="22"/>
        <v>42194.208333333328</v>
      </c>
      <c r="O347" s="9">
        <f t="shared" si="23"/>
        <v>42195.208333333328</v>
      </c>
      <c r="P347" t="b">
        <v>0</v>
      </c>
      <c r="Q347" t="b">
        <v>0</v>
      </c>
      <c r="R347" t="s">
        <v>53</v>
      </c>
      <c r="S347" s="5" t="str" cm="1">
        <f t="array" ref="S347:T347">_xlfn.TEXTSPLIT(R347, "/")</f>
        <v>film &amp; video</v>
      </c>
      <c r="T347" s="5" t="str">
        <v>drama</v>
      </c>
    </row>
    <row r="348" spans="1:20" ht="19.5" x14ac:dyDescent="0.4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 s="4">
        <f t="shared" si="20"/>
        <v>34.475000000000001</v>
      </c>
      <c r="K348">
        <v>1503550800</v>
      </c>
      <c r="L348" s="5">
        <f t="shared" si="21"/>
        <v>110.32</v>
      </c>
      <c r="M348">
        <v>1508302800</v>
      </c>
      <c r="N348" s="9">
        <f t="shared" si="22"/>
        <v>42971.208333333328</v>
      </c>
      <c r="O348" s="9">
        <f t="shared" si="23"/>
        <v>43026.208333333328</v>
      </c>
      <c r="P348" t="b">
        <v>0</v>
      </c>
      <c r="Q348" t="b">
        <v>1</v>
      </c>
      <c r="R348" t="s">
        <v>60</v>
      </c>
      <c r="S348" s="5" t="str" cm="1">
        <f t="array" ref="S348:T348">_xlfn.TEXTSPLIT(R348, "/")</f>
        <v>music</v>
      </c>
      <c r="T348" s="5" t="str">
        <v>indie rock</v>
      </c>
    </row>
    <row r="349" spans="1:20" ht="19.5" x14ac:dyDescent="0.4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 s="4">
        <f t="shared" si="20"/>
        <v>1400.7777777777778</v>
      </c>
      <c r="K349">
        <v>1423634400</v>
      </c>
      <c r="L349" s="5">
        <f t="shared" si="21"/>
        <v>66.005235602094245</v>
      </c>
      <c r="M349">
        <v>1425708000</v>
      </c>
      <c r="N349" s="9">
        <f t="shared" si="22"/>
        <v>42046.25</v>
      </c>
      <c r="O349" s="9">
        <f t="shared" si="23"/>
        <v>42070.25</v>
      </c>
      <c r="P349" t="b">
        <v>0</v>
      </c>
      <c r="Q349" t="b">
        <v>0</v>
      </c>
      <c r="R349" t="s">
        <v>28</v>
      </c>
      <c r="S349" s="5" t="str" cm="1">
        <f t="array" ref="S349:T349">_xlfn.TEXTSPLIT(R349, "/")</f>
        <v>technology</v>
      </c>
      <c r="T349" s="5" t="str">
        <v>web</v>
      </c>
    </row>
    <row r="350" spans="1:20" ht="19.5" x14ac:dyDescent="0.4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 s="4">
        <f t="shared" si="20"/>
        <v>71.770351758793964</v>
      </c>
      <c r="K350">
        <v>1487224800</v>
      </c>
      <c r="L350" s="5">
        <f t="shared" si="21"/>
        <v>41.005742176284812</v>
      </c>
      <c r="M350">
        <v>1488348000</v>
      </c>
      <c r="N350" s="9">
        <f t="shared" si="22"/>
        <v>42782.25</v>
      </c>
      <c r="O350" s="9">
        <f t="shared" si="23"/>
        <v>42795.25</v>
      </c>
      <c r="P350" t="b">
        <v>0</v>
      </c>
      <c r="Q350" t="b">
        <v>0</v>
      </c>
      <c r="R350" t="s">
        <v>17</v>
      </c>
      <c r="S350" s="5" t="str" cm="1">
        <f t="array" ref="S350:T350">_xlfn.TEXTSPLIT(R350, "/")</f>
        <v>food</v>
      </c>
      <c r="T350" s="5" t="str">
        <v>food trucks</v>
      </c>
    </row>
    <row r="351" spans="1:20" ht="19.5" x14ac:dyDescent="0.4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 s="4">
        <f t="shared" si="20"/>
        <v>53.074115044247783</v>
      </c>
      <c r="K351">
        <v>1500008400</v>
      </c>
      <c r="L351" s="5">
        <f t="shared" si="21"/>
        <v>103.96316359696641</v>
      </c>
      <c r="M351">
        <v>1502600400</v>
      </c>
      <c r="N351" s="9">
        <f t="shared" si="22"/>
        <v>42930.208333333328</v>
      </c>
      <c r="O351" s="9">
        <f t="shared" si="23"/>
        <v>42960.208333333328</v>
      </c>
      <c r="P351" t="b">
        <v>0</v>
      </c>
      <c r="Q351" t="b">
        <v>0</v>
      </c>
      <c r="R351" t="s">
        <v>33</v>
      </c>
      <c r="S351" s="5" t="str" cm="1">
        <f t="array" ref="S351:T351">_xlfn.TEXTSPLIT(R351, "/")</f>
        <v>theater</v>
      </c>
      <c r="T351" s="5" t="str">
        <v>plays</v>
      </c>
    </row>
    <row r="352" spans="1:20" ht="19.5" x14ac:dyDescent="0.4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 s="4">
        <f t="shared" si="20"/>
        <v>5</v>
      </c>
      <c r="K352">
        <v>1432098000</v>
      </c>
      <c r="L352" s="5">
        <f t="shared" si="21"/>
        <v>5</v>
      </c>
      <c r="M352">
        <v>1433653200</v>
      </c>
      <c r="N352" s="9">
        <f t="shared" si="22"/>
        <v>42144.208333333328</v>
      </c>
      <c r="O352" s="9">
        <f t="shared" si="23"/>
        <v>42162.208333333328</v>
      </c>
      <c r="P352" t="b">
        <v>0</v>
      </c>
      <c r="Q352" t="b">
        <v>1</v>
      </c>
      <c r="R352" t="s">
        <v>159</v>
      </c>
      <c r="S352" s="5" t="str" cm="1">
        <f t="array" ref="S352:T352">_xlfn.TEXTSPLIT(R352, "/")</f>
        <v>music</v>
      </c>
      <c r="T352" s="5" t="str">
        <v>jazz</v>
      </c>
    </row>
    <row r="353" spans="1:20" ht="19.5" x14ac:dyDescent="0.4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 s="4">
        <f t="shared" si="20"/>
        <v>127.70715249662618</v>
      </c>
      <c r="K353">
        <v>1440392400</v>
      </c>
      <c r="L353" s="5">
        <f t="shared" si="21"/>
        <v>47.009935419771487</v>
      </c>
      <c r="M353">
        <v>1441602000</v>
      </c>
      <c r="N353" s="9">
        <f t="shared" si="22"/>
        <v>42240.208333333328</v>
      </c>
      <c r="O353" s="9">
        <f t="shared" si="23"/>
        <v>42254.208333333328</v>
      </c>
      <c r="P353" t="b">
        <v>0</v>
      </c>
      <c r="Q353" t="b">
        <v>0</v>
      </c>
      <c r="R353" t="s">
        <v>23</v>
      </c>
      <c r="S353" s="5" t="str" cm="1">
        <f t="array" ref="S353:T353">_xlfn.TEXTSPLIT(R353, "/")</f>
        <v>music</v>
      </c>
      <c r="T353" s="5" t="str">
        <v>rock</v>
      </c>
    </row>
    <row r="354" spans="1:20" ht="19.5" x14ac:dyDescent="0.4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 s="4">
        <f t="shared" si="20"/>
        <v>34.892857142857139</v>
      </c>
      <c r="K354">
        <v>1446876000</v>
      </c>
      <c r="L354" s="5">
        <f t="shared" si="21"/>
        <v>29.606060606060606</v>
      </c>
      <c r="M354">
        <v>1447567200</v>
      </c>
      <c r="N354" s="9">
        <f t="shared" si="22"/>
        <v>42315.25</v>
      </c>
      <c r="O354" s="9">
        <f t="shared" si="23"/>
        <v>42323.25</v>
      </c>
      <c r="P354" t="b">
        <v>0</v>
      </c>
      <c r="Q354" t="b">
        <v>0</v>
      </c>
      <c r="R354" t="s">
        <v>33</v>
      </c>
      <c r="S354" s="5" t="str" cm="1">
        <f t="array" ref="S354:T354">_xlfn.TEXTSPLIT(R354, "/")</f>
        <v>theater</v>
      </c>
      <c r="T354" s="5" t="str">
        <v>plays</v>
      </c>
    </row>
    <row r="355" spans="1:20" ht="19.5" x14ac:dyDescent="0.4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 s="4">
        <f t="shared" si="20"/>
        <v>410.59821428571428</v>
      </c>
      <c r="K355">
        <v>1562302800</v>
      </c>
      <c r="L355" s="5">
        <f t="shared" si="21"/>
        <v>81.010569583088667</v>
      </c>
      <c r="M355">
        <v>1562389200</v>
      </c>
      <c r="N355" s="9">
        <f t="shared" si="22"/>
        <v>43651.208333333328</v>
      </c>
      <c r="O355" s="9">
        <f t="shared" si="23"/>
        <v>43652.208333333328</v>
      </c>
      <c r="P355" t="b">
        <v>0</v>
      </c>
      <c r="Q355" t="b">
        <v>0</v>
      </c>
      <c r="R355" t="s">
        <v>33</v>
      </c>
      <c r="S355" s="5" t="str" cm="1">
        <f t="array" ref="S355:T355">_xlfn.TEXTSPLIT(R355, "/")</f>
        <v>theater</v>
      </c>
      <c r="T355" s="5" t="str">
        <v>plays</v>
      </c>
    </row>
    <row r="356" spans="1:20" ht="19.5" x14ac:dyDescent="0.4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 s="4">
        <f t="shared" si="20"/>
        <v>123.73770491803278</v>
      </c>
      <c r="K356">
        <v>1378184400</v>
      </c>
      <c r="L356" s="5">
        <f t="shared" si="21"/>
        <v>94.35</v>
      </c>
      <c r="M356">
        <v>1378789200</v>
      </c>
      <c r="N356" s="9">
        <f t="shared" si="22"/>
        <v>41520.208333333336</v>
      </c>
      <c r="O356" s="9">
        <f t="shared" si="23"/>
        <v>41527.208333333336</v>
      </c>
      <c r="P356" t="b">
        <v>0</v>
      </c>
      <c r="Q356" t="b">
        <v>0</v>
      </c>
      <c r="R356" t="s">
        <v>42</v>
      </c>
      <c r="S356" s="5" t="str" cm="1">
        <f t="array" ref="S356:T356">_xlfn.TEXTSPLIT(R356, "/")</f>
        <v>film &amp; video</v>
      </c>
      <c r="T356" s="5" t="str">
        <v>documentary</v>
      </c>
    </row>
    <row r="357" spans="1:20" ht="19.5" x14ac:dyDescent="0.4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 s="4">
        <f t="shared" si="20"/>
        <v>58.973684210526315</v>
      </c>
      <c r="K357">
        <v>1485064800</v>
      </c>
      <c r="L357" s="5">
        <f t="shared" si="21"/>
        <v>26.058139534883722</v>
      </c>
      <c r="M357">
        <v>1488520800</v>
      </c>
      <c r="N357" s="9">
        <f t="shared" si="22"/>
        <v>42757.25</v>
      </c>
      <c r="O357" s="9">
        <f t="shared" si="23"/>
        <v>42797.25</v>
      </c>
      <c r="P357" t="b">
        <v>0</v>
      </c>
      <c r="Q357" t="b">
        <v>0</v>
      </c>
      <c r="R357" t="s">
        <v>65</v>
      </c>
      <c r="S357" s="5" t="str" cm="1">
        <f t="array" ref="S357:T357">_xlfn.TEXTSPLIT(R357, "/")</f>
        <v>technology</v>
      </c>
      <c r="T357" s="5" t="str">
        <v>wearables</v>
      </c>
    </row>
    <row r="358" spans="1:20" ht="19.5" x14ac:dyDescent="0.4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 s="4">
        <f t="shared" si="20"/>
        <v>36.892473118279568</v>
      </c>
      <c r="K358">
        <v>1326520800</v>
      </c>
      <c r="L358" s="5">
        <f t="shared" si="21"/>
        <v>85.775000000000006</v>
      </c>
      <c r="M358">
        <v>1327298400</v>
      </c>
      <c r="N358" s="9">
        <f t="shared" si="22"/>
        <v>40922.25</v>
      </c>
      <c r="O358" s="9">
        <f t="shared" si="23"/>
        <v>40931.25</v>
      </c>
      <c r="P358" t="b">
        <v>0</v>
      </c>
      <c r="Q358" t="b">
        <v>0</v>
      </c>
      <c r="R358" t="s">
        <v>33</v>
      </c>
      <c r="S358" s="5" t="str" cm="1">
        <f t="array" ref="S358:T358">_xlfn.TEXTSPLIT(R358, "/")</f>
        <v>theater</v>
      </c>
      <c r="T358" s="5" t="str">
        <v>plays</v>
      </c>
    </row>
    <row r="359" spans="1:20" ht="19.5" x14ac:dyDescent="0.4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 s="4">
        <f t="shared" si="20"/>
        <v>184.91304347826087</v>
      </c>
      <c r="K359">
        <v>1441256400</v>
      </c>
      <c r="L359" s="5">
        <f t="shared" si="21"/>
        <v>103.73170731707317</v>
      </c>
      <c r="M359">
        <v>1443416400</v>
      </c>
      <c r="N359" s="9">
        <f t="shared" si="22"/>
        <v>42250.208333333328</v>
      </c>
      <c r="O359" s="9">
        <f t="shared" si="23"/>
        <v>42275.208333333328</v>
      </c>
      <c r="P359" t="b">
        <v>0</v>
      </c>
      <c r="Q359" t="b">
        <v>0</v>
      </c>
      <c r="R359" t="s">
        <v>89</v>
      </c>
      <c r="S359" s="5" t="str" cm="1">
        <f t="array" ref="S359:T359">_xlfn.TEXTSPLIT(R359, "/")</f>
        <v>games</v>
      </c>
      <c r="T359" s="5" t="str">
        <v>video games</v>
      </c>
    </row>
    <row r="360" spans="1:20" ht="19.5" x14ac:dyDescent="0.4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 s="4">
        <f t="shared" si="20"/>
        <v>11.814432989690722</v>
      </c>
      <c r="K360">
        <v>1533877200</v>
      </c>
      <c r="L360" s="5">
        <f t="shared" si="21"/>
        <v>49.826086956521742</v>
      </c>
      <c r="M360">
        <v>1534136400</v>
      </c>
      <c r="N360" s="9">
        <f t="shared" si="22"/>
        <v>43322.208333333328</v>
      </c>
      <c r="O360" s="9">
        <f t="shared" si="23"/>
        <v>43325.208333333328</v>
      </c>
      <c r="P360" t="b">
        <v>1</v>
      </c>
      <c r="Q360" t="b">
        <v>0</v>
      </c>
      <c r="R360" t="s">
        <v>122</v>
      </c>
      <c r="S360" s="5" t="str" cm="1">
        <f t="array" ref="S360:T360">_xlfn.TEXTSPLIT(R360, "/")</f>
        <v>photography</v>
      </c>
      <c r="T360" s="5" t="str">
        <v>photography books</v>
      </c>
    </row>
    <row r="361" spans="1:20" ht="19.5" x14ac:dyDescent="0.4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 s="4">
        <f t="shared" si="20"/>
        <v>298.7</v>
      </c>
      <c r="K361">
        <v>1314421200</v>
      </c>
      <c r="L361" s="5">
        <f t="shared" si="21"/>
        <v>63.893048128342244</v>
      </c>
      <c r="M361">
        <v>1315026000</v>
      </c>
      <c r="N361" s="9">
        <f t="shared" si="22"/>
        <v>40782.208333333336</v>
      </c>
      <c r="O361" s="9">
        <f t="shared" si="23"/>
        <v>40789.208333333336</v>
      </c>
      <c r="P361" t="b">
        <v>0</v>
      </c>
      <c r="Q361" t="b">
        <v>0</v>
      </c>
      <c r="R361" t="s">
        <v>71</v>
      </c>
      <c r="S361" s="5" t="str" cm="1">
        <f t="array" ref="S361:T361">_xlfn.TEXTSPLIT(R361, "/")</f>
        <v>film &amp; video</v>
      </c>
      <c r="T361" s="5" t="str">
        <v>animation</v>
      </c>
    </row>
    <row r="362" spans="1:20" ht="19.5" x14ac:dyDescent="0.4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 s="4">
        <f t="shared" si="20"/>
        <v>226.35175879396985</v>
      </c>
      <c r="K362">
        <v>1293861600</v>
      </c>
      <c r="L362" s="5">
        <f t="shared" si="21"/>
        <v>47.002434782608695</v>
      </c>
      <c r="M362">
        <v>1295071200</v>
      </c>
      <c r="N362" s="9">
        <f t="shared" si="22"/>
        <v>40544.25</v>
      </c>
      <c r="O362" s="9">
        <f t="shared" si="23"/>
        <v>40558.25</v>
      </c>
      <c r="P362" t="b">
        <v>0</v>
      </c>
      <c r="Q362" t="b">
        <v>1</v>
      </c>
      <c r="R362" t="s">
        <v>33</v>
      </c>
      <c r="S362" s="5" t="str" cm="1">
        <f t="array" ref="S362:T362">_xlfn.TEXTSPLIT(R362, "/")</f>
        <v>theater</v>
      </c>
      <c r="T362" s="5" t="str">
        <v>plays</v>
      </c>
    </row>
    <row r="363" spans="1:20" ht="19.5" x14ac:dyDescent="0.4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 s="4">
        <f t="shared" si="20"/>
        <v>173.56363636363636</v>
      </c>
      <c r="K363">
        <v>1507352400</v>
      </c>
      <c r="L363" s="5">
        <f t="shared" si="21"/>
        <v>108.47727272727273</v>
      </c>
      <c r="M363">
        <v>1509426000</v>
      </c>
      <c r="N363" s="9">
        <f t="shared" si="22"/>
        <v>43015.208333333328</v>
      </c>
      <c r="O363" s="9">
        <f t="shared" si="23"/>
        <v>43039.208333333328</v>
      </c>
      <c r="P363" t="b">
        <v>0</v>
      </c>
      <c r="Q363" t="b">
        <v>0</v>
      </c>
      <c r="R363" t="s">
        <v>33</v>
      </c>
      <c r="S363" s="5" t="str" cm="1">
        <f t="array" ref="S363:T363">_xlfn.TEXTSPLIT(R363, "/")</f>
        <v>theater</v>
      </c>
      <c r="T363" s="5" t="str">
        <v>plays</v>
      </c>
    </row>
    <row r="364" spans="1:20" ht="19.5" x14ac:dyDescent="0.4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 s="4">
        <f t="shared" si="20"/>
        <v>371.75675675675677</v>
      </c>
      <c r="K364">
        <v>1296108000</v>
      </c>
      <c r="L364" s="5">
        <f t="shared" si="21"/>
        <v>72.015706806282722</v>
      </c>
      <c r="M364">
        <v>1299391200</v>
      </c>
      <c r="N364" s="9">
        <f t="shared" si="22"/>
        <v>40570.25</v>
      </c>
      <c r="O364" s="9">
        <f t="shared" si="23"/>
        <v>40608.25</v>
      </c>
      <c r="P364" t="b">
        <v>0</v>
      </c>
      <c r="Q364" t="b">
        <v>0</v>
      </c>
      <c r="R364" t="s">
        <v>23</v>
      </c>
      <c r="S364" s="5" t="str" cm="1">
        <f t="array" ref="S364:T364">_xlfn.TEXTSPLIT(R364, "/")</f>
        <v>music</v>
      </c>
      <c r="T364" s="5" t="str">
        <v>rock</v>
      </c>
    </row>
    <row r="365" spans="1:20" ht="19.5" x14ac:dyDescent="0.4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 s="4">
        <f t="shared" si="20"/>
        <v>160.19230769230771</v>
      </c>
      <c r="K365">
        <v>1324965600</v>
      </c>
      <c r="L365" s="5">
        <f t="shared" si="21"/>
        <v>59.928057553956833</v>
      </c>
      <c r="M365">
        <v>1325052000</v>
      </c>
      <c r="N365" s="9">
        <f t="shared" si="22"/>
        <v>40904.25</v>
      </c>
      <c r="O365" s="9">
        <f t="shared" si="23"/>
        <v>40905.25</v>
      </c>
      <c r="P365" t="b">
        <v>0</v>
      </c>
      <c r="Q365" t="b">
        <v>0</v>
      </c>
      <c r="R365" t="s">
        <v>23</v>
      </c>
      <c r="S365" s="5" t="str" cm="1">
        <f t="array" ref="S365:T365">_xlfn.TEXTSPLIT(R365, "/")</f>
        <v>music</v>
      </c>
      <c r="T365" s="5" t="str">
        <v>rock</v>
      </c>
    </row>
    <row r="366" spans="1:20" ht="19.5" x14ac:dyDescent="0.4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 s="4">
        <f t="shared" si="20"/>
        <v>1616.3333333333335</v>
      </c>
      <c r="K366">
        <v>1520229600</v>
      </c>
      <c r="L366" s="5">
        <f t="shared" si="21"/>
        <v>78.209677419354833</v>
      </c>
      <c r="M366">
        <v>1522818000</v>
      </c>
      <c r="N366" s="9">
        <f t="shared" si="22"/>
        <v>43164.25</v>
      </c>
      <c r="O366" s="9">
        <f t="shared" si="23"/>
        <v>43194.208333333328</v>
      </c>
      <c r="P366" t="b">
        <v>0</v>
      </c>
      <c r="Q366" t="b">
        <v>0</v>
      </c>
      <c r="R366" t="s">
        <v>60</v>
      </c>
      <c r="S366" s="5" t="str" cm="1">
        <f t="array" ref="S366:T366">_xlfn.TEXTSPLIT(R366, "/")</f>
        <v>music</v>
      </c>
      <c r="T366" s="5" t="str">
        <v>indie rock</v>
      </c>
    </row>
    <row r="367" spans="1:20" ht="19.5" x14ac:dyDescent="0.4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 s="4">
        <f t="shared" si="20"/>
        <v>733.4375</v>
      </c>
      <c r="K367">
        <v>1482991200</v>
      </c>
      <c r="L367" s="5">
        <f t="shared" si="21"/>
        <v>104.77678571428571</v>
      </c>
      <c r="M367">
        <v>1485324000</v>
      </c>
      <c r="N367" s="9">
        <f t="shared" si="22"/>
        <v>42733.25</v>
      </c>
      <c r="O367" s="9">
        <f t="shared" si="23"/>
        <v>42760.25</v>
      </c>
      <c r="P367" t="b">
        <v>0</v>
      </c>
      <c r="Q367" t="b">
        <v>0</v>
      </c>
      <c r="R367" t="s">
        <v>33</v>
      </c>
      <c r="S367" s="5" t="str" cm="1">
        <f t="array" ref="S367:T367">_xlfn.TEXTSPLIT(R367, "/")</f>
        <v>theater</v>
      </c>
      <c r="T367" s="5" t="str">
        <v>plays</v>
      </c>
    </row>
    <row r="368" spans="1:20" ht="19.5" x14ac:dyDescent="0.4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 s="4">
        <f t="shared" si="20"/>
        <v>592.11111111111109</v>
      </c>
      <c r="K368">
        <v>1294034400</v>
      </c>
      <c r="L368" s="5">
        <f t="shared" si="21"/>
        <v>105.52475247524752</v>
      </c>
      <c r="M368">
        <v>1294120800</v>
      </c>
      <c r="N368" s="9">
        <f t="shared" si="22"/>
        <v>40546.25</v>
      </c>
      <c r="O368" s="9">
        <f t="shared" si="23"/>
        <v>40547.25</v>
      </c>
      <c r="P368" t="b">
        <v>0</v>
      </c>
      <c r="Q368" t="b">
        <v>1</v>
      </c>
      <c r="R368" t="s">
        <v>33</v>
      </c>
      <c r="S368" s="5" t="str" cm="1">
        <f t="array" ref="S368:T368">_xlfn.TEXTSPLIT(R368, "/")</f>
        <v>theater</v>
      </c>
      <c r="T368" s="5" t="str">
        <v>plays</v>
      </c>
    </row>
    <row r="369" spans="1:20" ht="19.5" x14ac:dyDescent="0.4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 s="4">
        <f t="shared" si="20"/>
        <v>18.888888888888889</v>
      </c>
      <c r="K369">
        <v>1413608400</v>
      </c>
      <c r="L369" s="5">
        <f t="shared" si="21"/>
        <v>24.933333333333334</v>
      </c>
      <c r="M369">
        <v>1415685600</v>
      </c>
      <c r="N369" s="9">
        <f t="shared" si="22"/>
        <v>41930.208333333336</v>
      </c>
      <c r="O369" s="9">
        <f t="shared" si="23"/>
        <v>41954.25</v>
      </c>
      <c r="P369" t="b">
        <v>0</v>
      </c>
      <c r="Q369" t="b">
        <v>1</v>
      </c>
      <c r="R369" t="s">
        <v>33</v>
      </c>
      <c r="S369" s="5" t="str" cm="1">
        <f t="array" ref="S369:T369">_xlfn.TEXTSPLIT(R369, "/")</f>
        <v>theater</v>
      </c>
      <c r="T369" s="5" t="str">
        <v>plays</v>
      </c>
    </row>
    <row r="370" spans="1:20" ht="19.5" x14ac:dyDescent="0.4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 s="4">
        <f t="shared" si="20"/>
        <v>276.80769230769232</v>
      </c>
      <c r="K370">
        <v>1286946000</v>
      </c>
      <c r="L370" s="5">
        <f t="shared" si="21"/>
        <v>69.873786407766985</v>
      </c>
      <c r="M370">
        <v>1288933200</v>
      </c>
      <c r="N370" s="9">
        <f t="shared" si="22"/>
        <v>40464.208333333336</v>
      </c>
      <c r="O370" s="9">
        <f t="shared" si="23"/>
        <v>40487.208333333336</v>
      </c>
      <c r="P370" t="b">
        <v>0</v>
      </c>
      <c r="Q370" t="b">
        <v>1</v>
      </c>
      <c r="R370" t="s">
        <v>42</v>
      </c>
      <c r="S370" s="5" t="str" cm="1">
        <f t="array" ref="S370:T370">_xlfn.TEXTSPLIT(R370, "/")</f>
        <v>film &amp; video</v>
      </c>
      <c r="T370" s="5" t="str">
        <v>documentary</v>
      </c>
    </row>
    <row r="371" spans="1:20" ht="19.5" x14ac:dyDescent="0.4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 s="4">
        <f t="shared" si="20"/>
        <v>273.01851851851848</v>
      </c>
      <c r="K371">
        <v>1359871200</v>
      </c>
      <c r="L371" s="5">
        <f t="shared" si="21"/>
        <v>95.733766233766232</v>
      </c>
      <c r="M371">
        <v>1363237200</v>
      </c>
      <c r="N371" s="9">
        <f t="shared" si="22"/>
        <v>41308.25</v>
      </c>
      <c r="O371" s="9">
        <f t="shared" si="23"/>
        <v>41347.208333333336</v>
      </c>
      <c r="P371" t="b">
        <v>0</v>
      </c>
      <c r="Q371" t="b">
        <v>1</v>
      </c>
      <c r="R371" t="s">
        <v>269</v>
      </c>
      <c r="S371" s="5" t="str" cm="1">
        <f t="array" ref="S371:T371">_xlfn.TEXTSPLIT(R371, "/")</f>
        <v>film &amp; video</v>
      </c>
      <c r="T371" s="5" t="str">
        <v>television</v>
      </c>
    </row>
    <row r="372" spans="1:20" ht="19.5" x14ac:dyDescent="0.4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 s="4">
        <f t="shared" si="20"/>
        <v>159.36331255565449</v>
      </c>
      <c r="K372">
        <v>1555304400</v>
      </c>
      <c r="L372" s="5">
        <f t="shared" si="21"/>
        <v>29.997485752598056</v>
      </c>
      <c r="M372">
        <v>1555822800</v>
      </c>
      <c r="N372" s="9">
        <f t="shared" si="22"/>
        <v>43570.208333333328</v>
      </c>
      <c r="O372" s="9">
        <f t="shared" si="23"/>
        <v>43576.208333333328</v>
      </c>
      <c r="P372" t="b">
        <v>0</v>
      </c>
      <c r="Q372" t="b">
        <v>0</v>
      </c>
      <c r="R372" t="s">
        <v>33</v>
      </c>
      <c r="S372" s="5" t="str" cm="1">
        <f t="array" ref="S372:T372">_xlfn.TEXTSPLIT(R372, "/")</f>
        <v>theater</v>
      </c>
      <c r="T372" s="5" t="str">
        <v>plays</v>
      </c>
    </row>
    <row r="373" spans="1:20" ht="19.5" x14ac:dyDescent="0.4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 s="4">
        <f t="shared" si="20"/>
        <v>67.869978858350947</v>
      </c>
      <c r="K373">
        <v>1423375200</v>
      </c>
      <c r="L373" s="5">
        <f t="shared" si="21"/>
        <v>59.011948529411768</v>
      </c>
      <c r="M373">
        <v>1427778000</v>
      </c>
      <c r="N373" s="9">
        <f t="shared" si="22"/>
        <v>42043.25</v>
      </c>
      <c r="O373" s="9">
        <f t="shared" si="23"/>
        <v>42094.208333333328</v>
      </c>
      <c r="P373" t="b">
        <v>0</v>
      </c>
      <c r="Q373" t="b">
        <v>0</v>
      </c>
      <c r="R373" t="s">
        <v>33</v>
      </c>
      <c r="S373" s="5" t="str" cm="1">
        <f t="array" ref="S373:T373">_xlfn.TEXTSPLIT(R373, "/")</f>
        <v>theater</v>
      </c>
      <c r="T373" s="5" t="str">
        <v>plays</v>
      </c>
    </row>
    <row r="374" spans="1:20" ht="33.75" x14ac:dyDescent="0.4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 s="4">
        <f t="shared" si="20"/>
        <v>1591.5555555555554</v>
      </c>
      <c r="K374">
        <v>1420696800</v>
      </c>
      <c r="L374" s="5">
        <f t="shared" si="21"/>
        <v>84.757396449704146</v>
      </c>
      <c r="M374">
        <v>1422424800</v>
      </c>
      <c r="N374" s="9">
        <f t="shared" si="22"/>
        <v>42012.25</v>
      </c>
      <c r="O374" s="9">
        <f t="shared" si="23"/>
        <v>42032.25</v>
      </c>
      <c r="P374" t="b">
        <v>0</v>
      </c>
      <c r="Q374" t="b">
        <v>1</v>
      </c>
      <c r="R374" t="s">
        <v>42</v>
      </c>
      <c r="S374" s="5" t="str" cm="1">
        <f t="array" ref="S374:T374">_xlfn.TEXTSPLIT(R374, "/")</f>
        <v>film &amp; video</v>
      </c>
      <c r="T374" s="5" t="str">
        <v>documentary</v>
      </c>
    </row>
    <row r="375" spans="1:20" ht="19.5" x14ac:dyDescent="0.4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 s="4">
        <f t="shared" si="20"/>
        <v>730.18222222222221</v>
      </c>
      <c r="K375">
        <v>1502946000</v>
      </c>
      <c r="L375" s="5">
        <f t="shared" si="21"/>
        <v>78.010921177587846</v>
      </c>
      <c r="M375">
        <v>1503637200</v>
      </c>
      <c r="N375" s="9">
        <f t="shared" si="22"/>
        <v>42964.208333333328</v>
      </c>
      <c r="O375" s="9">
        <f t="shared" si="23"/>
        <v>42972.208333333328</v>
      </c>
      <c r="P375" t="b">
        <v>0</v>
      </c>
      <c r="Q375" t="b">
        <v>0</v>
      </c>
      <c r="R375" t="s">
        <v>33</v>
      </c>
      <c r="S375" s="5" t="str" cm="1">
        <f t="array" ref="S375:T375">_xlfn.TEXTSPLIT(R375, "/")</f>
        <v>theater</v>
      </c>
      <c r="T375" s="5" t="str">
        <v>plays</v>
      </c>
    </row>
    <row r="376" spans="1:20" ht="33.75" x14ac:dyDescent="0.4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 s="4">
        <f t="shared" si="20"/>
        <v>13.185782556750297</v>
      </c>
      <c r="K376">
        <v>1547186400</v>
      </c>
      <c r="L376" s="5">
        <f t="shared" si="21"/>
        <v>50.05215419501134</v>
      </c>
      <c r="M376">
        <v>1547618400</v>
      </c>
      <c r="N376" s="9">
        <f t="shared" si="22"/>
        <v>43476.25</v>
      </c>
      <c r="O376" s="9">
        <f t="shared" si="23"/>
        <v>43481.25</v>
      </c>
      <c r="P376" t="b">
        <v>0</v>
      </c>
      <c r="Q376" t="b">
        <v>1</v>
      </c>
      <c r="R376" t="s">
        <v>42</v>
      </c>
      <c r="S376" s="5" t="str" cm="1">
        <f t="array" ref="S376:T376">_xlfn.TEXTSPLIT(R376, "/")</f>
        <v>film &amp; video</v>
      </c>
      <c r="T376" s="5" t="str">
        <v>documentary</v>
      </c>
    </row>
    <row r="377" spans="1:20" ht="33.75" x14ac:dyDescent="0.4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 s="4">
        <f t="shared" si="20"/>
        <v>54.777777777777779</v>
      </c>
      <c r="K377">
        <v>1444971600</v>
      </c>
      <c r="L377" s="5">
        <f t="shared" si="21"/>
        <v>59.16</v>
      </c>
      <c r="M377">
        <v>1449900000</v>
      </c>
      <c r="N377" s="9">
        <f t="shared" si="22"/>
        <v>42293.208333333328</v>
      </c>
      <c r="O377" s="9">
        <f t="shared" si="23"/>
        <v>42350.25</v>
      </c>
      <c r="P377" t="b">
        <v>0</v>
      </c>
      <c r="Q377" t="b">
        <v>0</v>
      </c>
      <c r="R377" t="s">
        <v>60</v>
      </c>
      <c r="S377" s="5" t="str" cm="1">
        <f t="array" ref="S377:T377">_xlfn.TEXTSPLIT(R377, "/")</f>
        <v>music</v>
      </c>
      <c r="T377" s="5" t="str">
        <v>indie rock</v>
      </c>
    </row>
    <row r="378" spans="1:20" ht="19.5" x14ac:dyDescent="0.4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 s="4">
        <f t="shared" si="20"/>
        <v>361.02941176470591</v>
      </c>
      <c r="K378">
        <v>1404622800</v>
      </c>
      <c r="L378" s="5">
        <f t="shared" si="21"/>
        <v>93.702290076335885</v>
      </c>
      <c r="M378">
        <v>1405141200</v>
      </c>
      <c r="N378" s="9">
        <f t="shared" si="22"/>
        <v>41826.208333333336</v>
      </c>
      <c r="O378" s="9">
        <f t="shared" si="23"/>
        <v>41832.208333333336</v>
      </c>
      <c r="P378" t="b">
        <v>0</v>
      </c>
      <c r="Q378" t="b">
        <v>0</v>
      </c>
      <c r="R378" t="s">
        <v>23</v>
      </c>
      <c r="S378" s="5" t="str" cm="1">
        <f t="array" ref="S378:T378">_xlfn.TEXTSPLIT(R378, "/")</f>
        <v>music</v>
      </c>
      <c r="T378" s="5" t="str">
        <v>rock</v>
      </c>
    </row>
    <row r="379" spans="1:20" ht="19.5" x14ac:dyDescent="0.4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 s="4">
        <f t="shared" si="20"/>
        <v>10.257545271629779</v>
      </c>
      <c r="K379">
        <v>1571720400</v>
      </c>
      <c r="L379" s="5">
        <f t="shared" si="21"/>
        <v>40.14173228346457</v>
      </c>
      <c r="M379">
        <v>1572933600</v>
      </c>
      <c r="N379" s="9">
        <f t="shared" si="22"/>
        <v>43760.208333333328</v>
      </c>
      <c r="O379" s="9">
        <f t="shared" si="23"/>
        <v>43774.25</v>
      </c>
      <c r="P379" t="b">
        <v>0</v>
      </c>
      <c r="Q379" t="b">
        <v>0</v>
      </c>
      <c r="R379" t="s">
        <v>33</v>
      </c>
      <c r="S379" s="5" t="str" cm="1">
        <f t="array" ref="S379:T379">_xlfn.TEXTSPLIT(R379, "/")</f>
        <v>theater</v>
      </c>
      <c r="T379" s="5" t="str">
        <v>plays</v>
      </c>
    </row>
    <row r="380" spans="1:20" ht="19.5" x14ac:dyDescent="0.4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 s="4">
        <f t="shared" si="20"/>
        <v>13.962962962962964</v>
      </c>
      <c r="K380">
        <v>1526878800</v>
      </c>
      <c r="L380" s="5">
        <f t="shared" si="21"/>
        <v>70.090140845070422</v>
      </c>
      <c r="M380">
        <v>1530162000</v>
      </c>
      <c r="N380" s="9">
        <f t="shared" si="22"/>
        <v>43241.208333333328</v>
      </c>
      <c r="O380" s="9">
        <f t="shared" si="23"/>
        <v>43279.208333333328</v>
      </c>
      <c r="P380" t="b">
        <v>0</v>
      </c>
      <c r="Q380" t="b">
        <v>0</v>
      </c>
      <c r="R380" t="s">
        <v>42</v>
      </c>
      <c r="S380" s="5" t="str" cm="1">
        <f t="array" ref="S380:T380">_xlfn.TEXTSPLIT(R380, "/")</f>
        <v>film &amp; video</v>
      </c>
      <c r="T380" s="5" t="str">
        <v>documentary</v>
      </c>
    </row>
    <row r="381" spans="1:20" ht="19.5" x14ac:dyDescent="0.4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 s="4">
        <f t="shared" si="20"/>
        <v>40.444444444444443</v>
      </c>
      <c r="K381">
        <v>1319691600</v>
      </c>
      <c r="L381" s="5">
        <f t="shared" si="21"/>
        <v>66.181818181818187</v>
      </c>
      <c r="M381">
        <v>1320904800</v>
      </c>
      <c r="N381" s="9">
        <f t="shared" si="22"/>
        <v>40843.208333333336</v>
      </c>
      <c r="O381" s="9">
        <f t="shared" si="23"/>
        <v>40857.25</v>
      </c>
      <c r="P381" t="b">
        <v>0</v>
      </c>
      <c r="Q381" t="b">
        <v>0</v>
      </c>
      <c r="R381" t="s">
        <v>33</v>
      </c>
      <c r="S381" s="5" t="str" cm="1">
        <f t="array" ref="S381:T381">_xlfn.TEXTSPLIT(R381, "/")</f>
        <v>theater</v>
      </c>
      <c r="T381" s="5" t="str">
        <v>plays</v>
      </c>
    </row>
    <row r="382" spans="1:20" ht="33.75" x14ac:dyDescent="0.4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 s="4">
        <f t="shared" si="20"/>
        <v>160.32</v>
      </c>
      <c r="K382">
        <v>1371963600</v>
      </c>
      <c r="L382" s="5">
        <f t="shared" si="21"/>
        <v>47.714285714285715</v>
      </c>
      <c r="M382">
        <v>1372395600</v>
      </c>
      <c r="N382" s="9">
        <f t="shared" si="22"/>
        <v>41448.208333333336</v>
      </c>
      <c r="O382" s="9">
        <f t="shared" si="23"/>
        <v>41453.208333333336</v>
      </c>
      <c r="P382" t="b">
        <v>0</v>
      </c>
      <c r="Q382" t="b">
        <v>0</v>
      </c>
      <c r="R382" t="s">
        <v>33</v>
      </c>
      <c r="S382" s="5" t="str" cm="1">
        <f t="array" ref="S382:T382">_xlfn.TEXTSPLIT(R382, "/")</f>
        <v>theater</v>
      </c>
      <c r="T382" s="5" t="str">
        <v>plays</v>
      </c>
    </row>
    <row r="383" spans="1:20" ht="19.5" x14ac:dyDescent="0.4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 s="4">
        <f t="shared" si="20"/>
        <v>183.9433962264151</v>
      </c>
      <c r="K383">
        <v>1433739600</v>
      </c>
      <c r="L383" s="5">
        <f t="shared" si="21"/>
        <v>62.896774193548389</v>
      </c>
      <c r="M383">
        <v>1437714000</v>
      </c>
      <c r="N383" s="9">
        <f t="shared" si="22"/>
        <v>42163.208333333328</v>
      </c>
      <c r="O383" s="9">
        <f t="shared" si="23"/>
        <v>42209.208333333328</v>
      </c>
      <c r="P383" t="b">
        <v>0</v>
      </c>
      <c r="Q383" t="b">
        <v>0</v>
      </c>
      <c r="R383" t="s">
        <v>33</v>
      </c>
      <c r="S383" s="5" t="str" cm="1">
        <f t="array" ref="S383:T383">_xlfn.TEXTSPLIT(R383, "/")</f>
        <v>theater</v>
      </c>
      <c r="T383" s="5" t="str">
        <v>plays</v>
      </c>
    </row>
    <row r="384" spans="1:20" ht="33.75" x14ac:dyDescent="0.4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 s="4">
        <f t="shared" si="20"/>
        <v>63.769230769230766</v>
      </c>
      <c r="K384">
        <v>1508130000</v>
      </c>
      <c r="L384" s="5">
        <f t="shared" si="21"/>
        <v>86.611940298507463</v>
      </c>
      <c r="M384">
        <v>1509771600</v>
      </c>
      <c r="N384" s="9">
        <f t="shared" si="22"/>
        <v>43024.208333333328</v>
      </c>
      <c r="O384" s="9">
        <f t="shared" si="23"/>
        <v>43043.208333333328</v>
      </c>
      <c r="P384" t="b">
        <v>0</v>
      </c>
      <c r="Q384" t="b">
        <v>0</v>
      </c>
      <c r="R384" t="s">
        <v>122</v>
      </c>
      <c r="S384" s="5" t="str" cm="1">
        <f t="array" ref="S384:T384">_xlfn.TEXTSPLIT(R384, "/")</f>
        <v>photography</v>
      </c>
      <c r="T384" s="5" t="str">
        <v>photography books</v>
      </c>
    </row>
    <row r="385" spans="1:20" ht="19.5" x14ac:dyDescent="0.4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 s="4">
        <f t="shared" si="20"/>
        <v>225.38095238095238</v>
      </c>
      <c r="K385">
        <v>1550037600</v>
      </c>
      <c r="L385" s="5">
        <f t="shared" si="21"/>
        <v>75.126984126984127</v>
      </c>
      <c r="M385">
        <v>1550556000</v>
      </c>
      <c r="N385" s="9">
        <f t="shared" si="22"/>
        <v>43509.25</v>
      </c>
      <c r="O385" s="9">
        <f t="shared" si="23"/>
        <v>43515.25</v>
      </c>
      <c r="P385" t="b">
        <v>0</v>
      </c>
      <c r="Q385" t="b">
        <v>1</v>
      </c>
      <c r="R385" t="s">
        <v>17</v>
      </c>
      <c r="S385" s="5" t="str" cm="1">
        <f t="array" ref="S385:T385">_xlfn.TEXTSPLIT(R385, "/")</f>
        <v>food</v>
      </c>
      <c r="T385" s="5" t="str">
        <v>food trucks</v>
      </c>
    </row>
    <row r="386" spans="1:20" ht="19.5" x14ac:dyDescent="0.4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 s="4">
        <f t="shared" si="20"/>
        <v>172.00961538461539</v>
      </c>
      <c r="K386">
        <v>1486706400</v>
      </c>
      <c r="L386" s="5">
        <f t="shared" si="21"/>
        <v>41.004167534903104</v>
      </c>
      <c r="M386">
        <v>1489039200</v>
      </c>
      <c r="N386" s="9">
        <f t="shared" si="22"/>
        <v>42776.25</v>
      </c>
      <c r="O386" s="9">
        <f t="shared" si="23"/>
        <v>42803.25</v>
      </c>
      <c r="P386" t="b">
        <v>1</v>
      </c>
      <c r="Q386" t="b">
        <v>1</v>
      </c>
      <c r="R386" t="s">
        <v>42</v>
      </c>
      <c r="S386" s="5" t="str" cm="1">
        <f t="array" ref="S386:T386">_xlfn.TEXTSPLIT(R386, "/")</f>
        <v>film &amp; video</v>
      </c>
      <c r="T386" s="5" t="str">
        <v>documentary</v>
      </c>
    </row>
    <row r="387" spans="1:20" ht="33.75" x14ac:dyDescent="0.4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 s="4">
        <f t="shared" ref="J387:J450" si="24">(E387/D387*100)</f>
        <v>146.16709511568124</v>
      </c>
      <c r="K387">
        <v>1553835600</v>
      </c>
      <c r="L387" s="5">
        <f t="shared" ref="L387:L450" si="25">E387/G387</f>
        <v>50.007915567282325</v>
      </c>
      <c r="M387">
        <v>1556600400</v>
      </c>
      <c r="N387" s="9">
        <f t="shared" ref="N387:N450" si="26">(((K387/60)/60)/24)+DATE(1970,1,1)</f>
        <v>43553.208333333328</v>
      </c>
      <c r="O387" s="9">
        <f t="shared" ref="O387:O450" si="27">(((M387/60)/60)/24)+DATE(1970,1,1)</f>
        <v>43585.208333333328</v>
      </c>
      <c r="P387" t="b">
        <v>0</v>
      </c>
      <c r="Q387" t="b">
        <v>0</v>
      </c>
      <c r="R387" t="s">
        <v>68</v>
      </c>
      <c r="S387" s="5" t="str" cm="1">
        <f t="array" ref="S387:T387">_xlfn.TEXTSPLIT(R387, "/")</f>
        <v>publishing</v>
      </c>
      <c r="T387" s="5" t="str">
        <v>nonfiction</v>
      </c>
    </row>
    <row r="388" spans="1:20" ht="33.75" x14ac:dyDescent="0.4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 s="4">
        <f t="shared" si="24"/>
        <v>76.42361623616236</v>
      </c>
      <c r="K388">
        <v>1277528400</v>
      </c>
      <c r="L388" s="5">
        <f t="shared" si="25"/>
        <v>96.960674157303373</v>
      </c>
      <c r="M388">
        <v>1278565200</v>
      </c>
      <c r="N388" s="9">
        <f t="shared" si="26"/>
        <v>40355.208333333336</v>
      </c>
      <c r="O388" s="9">
        <f t="shared" si="27"/>
        <v>40367.208333333336</v>
      </c>
      <c r="P388" t="b">
        <v>0</v>
      </c>
      <c r="Q388" t="b">
        <v>0</v>
      </c>
      <c r="R388" t="s">
        <v>33</v>
      </c>
      <c r="S388" s="5" t="str" cm="1">
        <f t="array" ref="S388:T388">_xlfn.TEXTSPLIT(R388, "/")</f>
        <v>theater</v>
      </c>
      <c r="T388" s="5" t="str">
        <v>plays</v>
      </c>
    </row>
    <row r="389" spans="1:20" ht="19.5" x14ac:dyDescent="0.4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 s="4">
        <f t="shared" si="24"/>
        <v>39.261467889908261</v>
      </c>
      <c r="K389">
        <v>1339477200</v>
      </c>
      <c r="L389" s="5">
        <f t="shared" si="25"/>
        <v>100.93160377358491</v>
      </c>
      <c r="M389">
        <v>1339909200</v>
      </c>
      <c r="N389" s="9">
        <f t="shared" si="26"/>
        <v>41072.208333333336</v>
      </c>
      <c r="O389" s="9">
        <f t="shared" si="27"/>
        <v>41077.208333333336</v>
      </c>
      <c r="P389" t="b">
        <v>0</v>
      </c>
      <c r="Q389" t="b">
        <v>0</v>
      </c>
      <c r="R389" t="s">
        <v>65</v>
      </c>
      <c r="S389" s="5" t="str" cm="1">
        <f t="array" ref="S389:T389">_xlfn.TEXTSPLIT(R389, "/")</f>
        <v>technology</v>
      </c>
      <c r="T389" s="5" t="str">
        <v>wearables</v>
      </c>
    </row>
    <row r="390" spans="1:20" ht="19.5" x14ac:dyDescent="0.4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 s="4">
        <f t="shared" si="24"/>
        <v>11.270034843205574</v>
      </c>
      <c r="K390">
        <v>1325656800</v>
      </c>
      <c r="L390" s="5">
        <f t="shared" si="25"/>
        <v>89.227586206896547</v>
      </c>
      <c r="M390">
        <v>1325829600</v>
      </c>
      <c r="N390" s="9">
        <f t="shared" si="26"/>
        <v>40912.25</v>
      </c>
      <c r="O390" s="9">
        <f t="shared" si="27"/>
        <v>40914.25</v>
      </c>
      <c r="P390" t="b">
        <v>0</v>
      </c>
      <c r="Q390" t="b">
        <v>0</v>
      </c>
      <c r="R390" t="s">
        <v>60</v>
      </c>
      <c r="S390" s="5" t="str" cm="1">
        <f t="array" ref="S390:T390">_xlfn.TEXTSPLIT(R390, "/")</f>
        <v>music</v>
      </c>
      <c r="T390" s="5" t="str">
        <v>indie rock</v>
      </c>
    </row>
    <row r="391" spans="1:20" ht="19.5" x14ac:dyDescent="0.4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 s="4">
        <f t="shared" si="24"/>
        <v>122.11084337349398</v>
      </c>
      <c r="K391">
        <v>1288242000</v>
      </c>
      <c r="L391" s="5">
        <f t="shared" si="25"/>
        <v>87.979166666666671</v>
      </c>
      <c r="M391">
        <v>1290578400</v>
      </c>
      <c r="N391" s="9">
        <f t="shared" si="26"/>
        <v>40479.208333333336</v>
      </c>
      <c r="O391" s="9">
        <f t="shared" si="27"/>
        <v>40506.25</v>
      </c>
      <c r="P391" t="b">
        <v>0</v>
      </c>
      <c r="Q391" t="b">
        <v>0</v>
      </c>
      <c r="R391" t="s">
        <v>33</v>
      </c>
      <c r="S391" s="5" t="str" cm="1">
        <f t="array" ref="S391:T391">_xlfn.TEXTSPLIT(R391, "/")</f>
        <v>theater</v>
      </c>
      <c r="T391" s="5" t="str">
        <v>plays</v>
      </c>
    </row>
    <row r="392" spans="1:20" ht="19.5" x14ac:dyDescent="0.4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 s="4">
        <f t="shared" si="24"/>
        <v>186.54166666666669</v>
      </c>
      <c r="K392">
        <v>1379048400</v>
      </c>
      <c r="L392" s="5">
        <f t="shared" si="25"/>
        <v>89.54</v>
      </c>
      <c r="M392">
        <v>1380344400</v>
      </c>
      <c r="N392" s="9">
        <f t="shared" si="26"/>
        <v>41530.208333333336</v>
      </c>
      <c r="O392" s="9">
        <f t="shared" si="27"/>
        <v>41545.208333333336</v>
      </c>
      <c r="P392" t="b">
        <v>0</v>
      </c>
      <c r="Q392" t="b">
        <v>0</v>
      </c>
      <c r="R392" t="s">
        <v>122</v>
      </c>
      <c r="S392" s="5" t="str" cm="1">
        <f t="array" ref="S392:T392">_xlfn.TEXTSPLIT(R392, "/")</f>
        <v>photography</v>
      </c>
      <c r="T392" s="5" t="str">
        <v>photography books</v>
      </c>
    </row>
    <row r="393" spans="1:20" ht="19.5" x14ac:dyDescent="0.4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 s="4">
        <f t="shared" si="24"/>
        <v>7.2731788079470201</v>
      </c>
      <c r="K393">
        <v>1389679200</v>
      </c>
      <c r="L393" s="5">
        <f t="shared" si="25"/>
        <v>29.09271523178808</v>
      </c>
      <c r="M393">
        <v>1389852000</v>
      </c>
      <c r="N393" s="9">
        <f t="shared" si="26"/>
        <v>41653.25</v>
      </c>
      <c r="O393" s="9">
        <f t="shared" si="27"/>
        <v>41655.25</v>
      </c>
      <c r="P393" t="b">
        <v>0</v>
      </c>
      <c r="Q393" t="b">
        <v>0</v>
      </c>
      <c r="R393" t="s">
        <v>68</v>
      </c>
      <c r="S393" s="5" t="str" cm="1">
        <f t="array" ref="S393:T393">_xlfn.TEXTSPLIT(R393, "/")</f>
        <v>publishing</v>
      </c>
      <c r="T393" s="5" t="str">
        <v>nonfiction</v>
      </c>
    </row>
    <row r="394" spans="1:20" ht="33.75" x14ac:dyDescent="0.4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 s="4">
        <f t="shared" si="24"/>
        <v>65.642371234207957</v>
      </c>
      <c r="K394">
        <v>1294293600</v>
      </c>
      <c r="L394" s="5">
        <f t="shared" si="25"/>
        <v>42.006218905472636</v>
      </c>
      <c r="M394">
        <v>1294466400</v>
      </c>
      <c r="N394" s="9">
        <f t="shared" si="26"/>
        <v>40549.25</v>
      </c>
      <c r="O394" s="9">
        <f t="shared" si="27"/>
        <v>40551.25</v>
      </c>
      <c r="P394" t="b">
        <v>0</v>
      </c>
      <c r="Q394" t="b">
        <v>0</v>
      </c>
      <c r="R394" t="s">
        <v>65</v>
      </c>
      <c r="S394" s="5" t="str" cm="1">
        <f t="array" ref="S394:T394">_xlfn.TEXTSPLIT(R394, "/")</f>
        <v>technology</v>
      </c>
      <c r="T394" s="5" t="str">
        <v>wearables</v>
      </c>
    </row>
    <row r="395" spans="1:20" ht="19.5" x14ac:dyDescent="0.4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 s="4">
        <f t="shared" si="24"/>
        <v>228.96178343949046</v>
      </c>
      <c r="K395">
        <v>1500267600</v>
      </c>
      <c r="L395" s="5">
        <f t="shared" si="25"/>
        <v>47.004903563255965</v>
      </c>
      <c r="M395">
        <v>1500354000</v>
      </c>
      <c r="N395" s="9">
        <f t="shared" si="26"/>
        <v>42933.208333333328</v>
      </c>
      <c r="O395" s="9">
        <f t="shared" si="27"/>
        <v>42934.208333333328</v>
      </c>
      <c r="P395" t="b">
        <v>0</v>
      </c>
      <c r="Q395" t="b">
        <v>0</v>
      </c>
      <c r="R395" t="s">
        <v>159</v>
      </c>
      <c r="S395" s="5" t="str" cm="1">
        <f t="array" ref="S395:T395">_xlfn.TEXTSPLIT(R395, "/")</f>
        <v>music</v>
      </c>
      <c r="T395" s="5" t="str">
        <v>jazz</v>
      </c>
    </row>
    <row r="396" spans="1:20" ht="19.5" x14ac:dyDescent="0.4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 s="4">
        <f t="shared" si="24"/>
        <v>469.37499999999994</v>
      </c>
      <c r="K396">
        <v>1375074000</v>
      </c>
      <c r="L396" s="5">
        <f t="shared" si="25"/>
        <v>110.44117647058823</v>
      </c>
      <c r="M396">
        <v>1375938000</v>
      </c>
      <c r="N396" s="9">
        <f t="shared" si="26"/>
        <v>41484.208333333336</v>
      </c>
      <c r="O396" s="9">
        <f t="shared" si="27"/>
        <v>41494.208333333336</v>
      </c>
      <c r="P396" t="b">
        <v>0</v>
      </c>
      <c r="Q396" t="b">
        <v>1</v>
      </c>
      <c r="R396" t="s">
        <v>42</v>
      </c>
      <c r="S396" s="5" t="str" cm="1">
        <f t="array" ref="S396:T396">_xlfn.TEXTSPLIT(R396, "/")</f>
        <v>film &amp; video</v>
      </c>
      <c r="T396" s="5" t="str">
        <v>documentary</v>
      </c>
    </row>
    <row r="397" spans="1:20" ht="33.75" x14ac:dyDescent="0.4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 s="4">
        <f t="shared" si="24"/>
        <v>130.11267605633802</v>
      </c>
      <c r="K397">
        <v>1323324000</v>
      </c>
      <c r="L397" s="5">
        <f t="shared" si="25"/>
        <v>41.990909090909092</v>
      </c>
      <c r="M397">
        <v>1323410400</v>
      </c>
      <c r="N397" s="9">
        <f t="shared" si="26"/>
        <v>40885.25</v>
      </c>
      <c r="O397" s="9">
        <f t="shared" si="27"/>
        <v>40886.25</v>
      </c>
      <c r="P397" t="b">
        <v>1</v>
      </c>
      <c r="Q397" t="b">
        <v>0</v>
      </c>
      <c r="R397" t="s">
        <v>33</v>
      </c>
      <c r="S397" s="5" t="str" cm="1">
        <f t="array" ref="S397:T397">_xlfn.TEXTSPLIT(R397, "/")</f>
        <v>theater</v>
      </c>
      <c r="T397" s="5" t="str">
        <v>plays</v>
      </c>
    </row>
    <row r="398" spans="1:20" ht="19.5" x14ac:dyDescent="0.4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 s="4">
        <f t="shared" si="24"/>
        <v>167.05422993492408</v>
      </c>
      <c r="K398">
        <v>1538715600</v>
      </c>
      <c r="L398" s="5">
        <f t="shared" si="25"/>
        <v>48.012468827930178</v>
      </c>
      <c r="M398">
        <v>1539406800</v>
      </c>
      <c r="N398" s="9">
        <f t="shared" si="26"/>
        <v>43378.208333333328</v>
      </c>
      <c r="O398" s="9">
        <f t="shared" si="27"/>
        <v>43386.208333333328</v>
      </c>
      <c r="P398" t="b">
        <v>0</v>
      </c>
      <c r="Q398" t="b">
        <v>0</v>
      </c>
      <c r="R398" t="s">
        <v>53</v>
      </c>
      <c r="S398" s="5" t="str" cm="1">
        <f t="array" ref="S398:T398">_xlfn.TEXTSPLIT(R398, "/")</f>
        <v>film &amp; video</v>
      </c>
      <c r="T398" s="5" t="str">
        <v>drama</v>
      </c>
    </row>
    <row r="399" spans="1:20" ht="19.5" x14ac:dyDescent="0.4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 s="4">
        <f t="shared" si="24"/>
        <v>173.8641975308642</v>
      </c>
      <c r="K399">
        <v>1369285200</v>
      </c>
      <c r="L399" s="5">
        <f t="shared" si="25"/>
        <v>31.019823788546255</v>
      </c>
      <c r="M399">
        <v>1369803600</v>
      </c>
      <c r="N399" s="9">
        <f t="shared" si="26"/>
        <v>41417.208333333336</v>
      </c>
      <c r="O399" s="9">
        <f t="shared" si="27"/>
        <v>41423.208333333336</v>
      </c>
      <c r="P399" t="b">
        <v>0</v>
      </c>
      <c r="Q399" t="b">
        <v>0</v>
      </c>
      <c r="R399" t="s">
        <v>23</v>
      </c>
      <c r="S399" s="5" t="str" cm="1">
        <f t="array" ref="S399:T399">_xlfn.TEXTSPLIT(R399, "/")</f>
        <v>music</v>
      </c>
      <c r="T399" s="5" t="str">
        <v>rock</v>
      </c>
    </row>
    <row r="400" spans="1:20" ht="19.5" x14ac:dyDescent="0.4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 s="4">
        <f t="shared" si="24"/>
        <v>717.76470588235293</v>
      </c>
      <c r="K400">
        <v>1525755600</v>
      </c>
      <c r="L400" s="5">
        <f t="shared" si="25"/>
        <v>99.203252032520325</v>
      </c>
      <c r="M400">
        <v>1525928400</v>
      </c>
      <c r="N400" s="9">
        <f t="shared" si="26"/>
        <v>43228.208333333328</v>
      </c>
      <c r="O400" s="9">
        <f t="shared" si="27"/>
        <v>43230.208333333328</v>
      </c>
      <c r="P400" t="b">
        <v>0</v>
      </c>
      <c r="Q400" t="b">
        <v>1</v>
      </c>
      <c r="R400" t="s">
        <v>71</v>
      </c>
      <c r="S400" s="5" t="str" cm="1">
        <f t="array" ref="S400:T400">_xlfn.TEXTSPLIT(R400, "/")</f>
        <v>film &amp; video</v>
      </c>
      <c r="T400" s="5" t="str">
        <v>animation</v>
      </c>
    </row>
    <row r="401" spans="1:20" ht="19.5" x14ac:dyDescent="0.4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 s="4">
        <f t="shared" si="24"/>
        <v>63.850976361767728</v>
      </c>
      <c r="K401">
        <v>1296626400</v>
      </c>
      <c r="L401" s="5">
        <f t="shared" si="25"/>
        <v>66.022316684378325</v>
      </c>
      <c r="M401">
        <v>1297231200</v>
      </c>
      <c r="N401" s="9">
        <f t="shared" si="26"/>
        <v>40576.25</v>
      </c>
      <c r="O401" s="9">
        <f t="shared" si="27"/>
        <v>40583.25</v>
      </c>
      <c r="P401" t="b">
        <v>0</v>
      </c>
      <c r="Q401" t="b">
        <v>0</v>
      </c>
      <c r="R401" t="s">
        <v>60</v>
      </c>
      <c r="S401" s="5" t="str" cm="1">
        <f t="array" ref="S401:T401">_xlfn.TEXTSPLIT(R401, "/")</f>
        <v>music</v>
      </c>
      <c r="T401" s="5" t="str">
        <v>indie rock</v>
      </c>
    </row>
    <row r="402" spans="1:20" ht="33.75" x14ac:dyDescent="0.4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 s="4">
        <f t="shared" si="24"/>
        <v>2</v>
      </c>
      <c r="K402">
        <v>1376629200</v>
      </c>
      <c r="L402" s="5">
        <f t="shared" si="25"/>
        <v>2</v>
      </c>
      <c r="M402">
        <v>1378530000</v>
      </c>
      <c r="N402" s="9">
        <f t="shared" si="26"/>
        <v>41502.208333333336</v>
      </c>
      <c r="O402" s="9">
        <f t="shared" si="27"/>
        <v>41524.208333333336</v>
      </c>
      <c r="P402" t="b">
        <v>0</v>
      </c>
      <c r="Q402" t="b">
        <v>1</v>
      </c>
      <c r="R402" t="s">
        <v>122</v>
      </c>
      <c r="S402" s="5" t="str" cm="1">
        <f t="array" ref="S402:T402">_xlfn.TEXTSPLIT(R402, "/")</f>
        <v>photography</v>
      </c>
      <c r="T402" s="5" t="str">
        <v>photography books</v>
      </c>
    </row>
    <row r="403" spans="1:20" ht="19.5" x14ac:dyDescent="0.4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 s="4">
        <f t="shared" si="24"/>
        <v>1530.2222222222222</v>
      </c>
      <c r="K403">
        <v>1572152400</v>
      </c>
      <c r="L403" s="5">
        <f t="shared" si="25"/>
        <v>46.060200668896321</v>
      </c>
      <c r="M403">
        <v>1572152400</v>
      </c>
      <c r="N403" s="9">
        <f t="shared" si="26"/>
        <v>43765.208333333328</v>
      </c>
      <c r="O403" s="9">
        <f t="shared" si="27"/>
        <v>43765.208333333328</v>
      </c>
      <c r="P403" t="b">
        <v>0</v>
      </c>
      <c r="Q403" t="b">
        <v>0</v>
      </c>
      <c r="R403" t="s">
        <v>33</v>
      </c>
      <c r="S403" s="5" t="str" cm="1">
        <f t="array" ref="S403:T403">_xlfn.TEXTSPLIT(R403, "/")</f>
        <v>theater</v>
      </c>
      <c r="T403" s="5" t="str">
        <v>plays</v>
      </c>
    </row>
    <row r="404" spans="1:20" ht="19.5" x14ac:dyDescent="0.4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 s="4">
        <f t="shared" si="24"/>
        <v>40.356164383561641</v>
      </c>
      <c r="K404">
        <v>1325829600</v>
      </c>
      <c r="L404" s="5">
        <f t="shared" si="25"/>
        <v>73.650000000000006</v>
      </c>
      <c r="M404">
        <v>1329890400</v>
      </c>
      <c r="N404" s="9">
        <f t="shared" si="26"/>
        <v>40914.25</v>
      </c>
      <c r="O404" s="9">
        <f t="shared" si="27"/>
        <v>40961.25</v>
      </c>
      <c r="P404" t="b">
        <v>0</v>
      </c>
      <c r="Q404" t="b">
        <v>1</v>
      </c>
      <c r="R404" t="s">
        <v>100</v>
      </c>
      <c r="S404" s="5" t="str" cm="1">
        <f t="array" ref="S404:T404">_xlfn.TEXTSPLIT(R404, "/")</f>
        <v>film &amp; video</v>
      </c>
      <c r="T404" s="5" t="str">
        <v>shorts</v>
      </c>
    </row>
    <row r="405" spans="1:20" ht="19.5" x14ac:dyDescent="0.4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 s="4">
        <f t="shared" si="24"/>
        <v>86.220633299284984</v>
      </c>
      <c r="K405">
        <v>1273640400</v>
      </c>
      <c r="L405" s="5">
        <f t="shared" si="25"/>
        <v>55.99336650082919</v>
      </c>
      <c r="M405">
        <v>1276750800</v>
      </c>
      <c r="N405" s="9">
        <f t="shared" si="26"/>
        <v>40310.208333333336</v>
      </c>
      <c r="O405" s="9">
        <f t="shared" si="27"/>
        <v>40346.208333333336</v>
      </c>
      <c r="P405" t="b">
        <v>0</v>
      </c>
      <c r="Q405" t="b">
        <v>1</v>
      </c>
      <c r="R405" t="s">
        <v>33</v>
      </c>
      <c r="S405" s="5" t="str" cm="1">
        <f t="array" ref="S405:T405">_xlfn.TEXTSPLIT(R405, "/")</f>
        <v>theater</v>
      </c>
      <c r="T405" s="5" t="str">
        <v>plays</v>
      </c>
    </row>
    <row r="406" spans="1:20" ht="19.5" x14ac:dyDescent="0.4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 s="4">
        <f t="shared" si="24"/>
        <v>315.58486707566465</v>
      </c>
      <c r="K406">
        <v>1510639200</v>
      </c>
      <c r="L406" s="5">
        <f t="shared" si="25"/>
        <v>68.985695127402778</v>
      </c>
      <c r="M406">
        <v>1510898400</v>
      </c>
      <c r="N406" s="9">
        <f t="shared" si="26"/>
        <v>43053.25</v>
      </c>
      <c r="O406" s="9">
        <f t="shared" si="27"/>
        <v>43056.25</v>
      </c>
      <c r="P406" t="b">
        <v>0</v>
      </c>
      <c r="Q406" t="b">
        <v>0</v>
      </c>
      <c r="R406" t="s">
        <v>33</v>
      </c>
      <c r="S406" s="5" t="str" cm="1">
        <f t="array" ref="S406:T406">_xlfn.TEXTSPLIT(R406, "/")</f>
        <v>theater</v>
      </c>
      <c r="T406" s="5" t="str">
        <v>plays</v>
      </c>
    </row>
    <row r="407" spans="1:20" ht="19.5" x14ac:dyDescent="0.4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 s="4">
        <f t="shared" si="24"/>
        <v>89.618243243243242</v>
      </c>
      <c r="K407">
        <v>1528088400</v>
      </c>
      <c r="L407" s="5">
        <f t="shared" si="25"/>
        <v>60.981609195402299</v>
      </c>
      <c r="M407">
        <v>1532408400</v>
      </c>
      <c r="N407" s="9">
        <f t="shared" si="26"/>
        <v>43255.208333333328</v>
      </c>
      <c r="O407" s="9">
        <f t="shared" si="27"/>
        <v>43305.208333333328</v>
      </c>
      <c r="P407" t="b">
        <v>0</v>
      </c>
      <c r="Q407" t="b">
        <v>0</v>
      </c>
      <c r="R407" t="s">
        <v>33</v>
      </c>
      <c r="S407" s="5" t="str" cm="1">
        <f t="array" ref="S407:T407">_xlfn.TEXTSPLIT(R407, "/")</f>
        <v>theater</v>
      </c>
      <c r="T407" s="5" t="str">
        <v>plays</v>
      </c>
    </row>
    <row r="408" spans="1:20" ht="19.5" x14ac:dyDescent="0.4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 s="4">
        <f t="shared" si="24"/>
        <v>182.14503816793894</v>
      </c>
      <c r="K408">
        <v>1359525600</v>
      </c>
      <c r="L408" s="5">
        <f t="shared" si="25"/>
        <v>110.98139534883721</v>
      </c>
      <c r="M408">
        <v>1360562400</v>
      </c>
      <c r="N408" s="9">
        <f t="shared" si="26"/>
        <v>41304.25</v>
      </c>
      <c r="O408" s="9">
        <f t="shared" si="27"/>
        <v>41316.25</v>
      </c>
      <c r="P408" t="b">
        <v>1</v>
      </c>
      <c r="Q408" t="b">
        <v>0</v>
      </c>
      <c r="R408" t="s">
        <v>42</v>
      </c>
      <c r="S408" s="5" t="str" cm="1">
        <f t="array" ref="S408:T408">_xlfn.TEXTSPLIT(R408, "/")</f>
        <v>film &amp; video</v>
      </c>
      <c r="T408" s="5" t="str">
        <v>documentary</v>
      </c>
    </row>
    <row r="409" spans="1:20" ht="19.5" x14ac:dyDescent="0.4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 s="4">
        <f t="shared" si="24"/>
        <v>355.88235294117646</v>
      </c>
      <c r="K409">
        <v>1570942800</v>
      </c>
      <c r="L409" s="5">
        <f t="shared" si="25"/>
        <v>25</v>
      </c>
      <c r="M409">
        <v>1571547600</v>
      </c>
      <c r="N409" s="9">
        <f t="shared" si="26"/>
        <v>43751.208333333328</v>
      </c>
      <c r="O409" s="9">
        <f t="shared" si="27"/>
        <v>43758.208333333328</v>
      </c>
      <c r="P409" t="b">
        <v>0</v>
      </c>
      <c r="Q409" t="b">
        <v>0</v>
      </c>
      <c r="R409" t="s">
        <v>33</v>
      </c>
      <c r="S409" s="5" t="str" cm="1">
        <f t="array" ref="S409:T409">_xlfn.TEXTSPLIT(R409, "/")</f>
        <v>theater</v>
      </c>
      <c r="T409" s="5" t="str">
        <v>plays</v>
      </c>
    </row>
    <row r="410" spans="1:20" ht="19.5" x14ac:dyDescent="0.4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 s="4">
        <f t="shared" si="24"/>
        <v>131.83695652173913</v>
      </c>
      <c r="K410">
        <v>1466398800</v>
      </c>
      <c r="L410" s="5">
        <f t="shared" si="25"/>
        <v>78.759740259740255</v>
      </c>
      <c r="M410">
        <v>1468126800</v>
      </c>
      <c r="N410" s="9">
        <f t="shared" si="26"/>
        <v>42541.208333333328</v>
      </c>
      <c r="O410" s="9">
        <f t="shared" si="27"/>
        <v>42561.208333333328</v>
      </c>
      <c r="P410" t="b">
        <v>0</v>
      </c>
      <c r="Q410" t="b">
        <v>0</v>
      </c>
      <c r="R410" t="s">
        <v>42</v>
      </c>
      <c r="S410" s="5" t="str" cm="1">
        <f t="array" ref="S410:T410">_xlfn.TEXTSPLIT(R410, "/")</f>
        <v>film &amp; video</v>
      </c>
      <c r="T410" s="5" t="str">
        <v>documentary</v>
      </c>
    </row>
    <row r="411" spans="1:20" ht="19.5" x14ac:dyDescent="0.4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 s="4">
        <f t="shared" si="24"/>
        <v>46.315634218289084</v>
      </c>
      <c r="K411">
        <v>1492491600</v>
      </c>
      <c r="L411" s="5">
        <f t="shared" si="25"/>
        <v>87.960784313725483</v>
      </c>
      <c r="M411">
        <v>1492837200</v>
      </c>
      <c r="N411" s="9">
        <f t="shared" si="26"/>
        <v>42843.208333333328</v>
      </c>
      <c r="O411" s="9">
        <f t="shared" si="27"/>
        <v>42847.208333333328</v>
      </c>
      <c r="P411" t="b">
        <v>0</v>
      </c>
      <c r="Q411" t="b">
        <v>0</v>
      </c>
      <c r="R411" t="s">
        <v>23</v>
      </c>
      <c r="S411" s="5" t="str" cm="1">
        <f t="array" ref="S411:T411">_xlfn.TEXTSPLIT(R411, "/")</f>
        <v>music</v>
      </c>
      <c r="T411" s="5" t="str">
        <v>rock</v>
      </c>
    </row>
    <row r="412" spans="1:20" ht="19.5" x14ac:dyDescent="0.4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 s="4">
        <f t="shared" si="24"/>
        <v>36.132726089785294</v>
      </c>
      <c r="K412">
        <v>1430197200</v>
      </c>
      <c r="L412" s="5">
        <f t="shared" si="25"/>
        <v>49.987398739873989</v>
      </c>
      <c r="M412">
        <v>1430197200</v>
      </c>
      <c r="N412" s="9">
        <f t="shared" si="26"/>
        <v>42122.208333333328</v>
      </c>
      <c r="O412" s="9">
        <f t="shared" si="27"/>
        <v>42122.208333333328</v>
      </c>
      <c r="P412" t="b">
        <v>0</v>
      </c>
      <c r="Q412" t="b">
        <v>0</v>
      </c>
      <c r="R412" t="s">
        <v>292</v>
      </c>
      <c r="S412" s="5" t="str" cm="1">
        <f t="array" ref="S412:T412">_xlfn.TEXTSPLIT(R412, "/")</f>
        <v>games</v>
      </c>
      <c r="T412" s="5" t="str">
        <v>mobile games</v>
      </c>
    </row>
    <row r="413" spans="1:20" ht="19.5" x14ac:dyDescent="0.4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 s="4">
        <f t="shared" si="24"/>
        <v>104.62820512820512</v>
      </c>
      <c r="K413">
        <v>1496034000</v>
      </c>
      <c r="L413" s="5">
        <f t="shared" si="25"/>
        <v>99.524390243902445</v>
      </c>
      <c r="M413">
        <v>1496206800</v>
      </c>
      <c r="N413" s="9">
        <f t="shared" si="26"/>
        <v>42884.208333333328</v>
      </c>
      <c r="O413" s="9">
        <f t="shared" si="27"/>
        <v>42886.208333333328</v>
      </c>
      <c r="P413" t="b">
        <v>0</v>
      </c>
      <c r="Q413" t="b">
        <v>0</v>
      </c>
      <c r="R413" t="s">
        <v>33</v>
      </c>
      <c r="S413" s="5" t="str" cm="1">
        <f t="array" ref="S413:T413">_xlfn.TEXTSPLIT(R413, "/")</f>
        <v>theater</v>
      </c>
      <c r="T413" s="5" t="str">
        <v>plays</v>
      </c>
    </row>
    <row r="414" spans="1:20" ht="19.5" x14ac:dyDescent="0.4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 s="4">
        <f t="shared" si="24"/>
        <v>668.85714285714289</v>
      </c>
      <c r="K414">
        <v>1388728800</v>
      </c>
      <c r="L414" s="5">
        <f t="shared" si="25"/>
        <v>104.82089552238806</v>
      </c>
      <c r="M414">
        <v>1389592800</v>
      </c>
      <c r="N414" s="9">
        <f t="shared" si="26"/>
        <v>41642.25</v>
      </c>
      <c r="O414" s="9">
        <f t="shared" si="27"/>
        <v>41652.25</v>
      </c>
      <c r="P414" t="b">
        <v>0</v>
      </c>
      <c r="Q414" t="b">
        <v>0</v>
      </c>
      <c r="R414" t="s">
        <v>119</v>
      </c>
      <c r="S414" s="5" t="str" cm="1">
        <f t="array" ref="S414:T414">_xlfn.TEXTSPLIT(R414, "/")</f>
        <v>publishing</v>
      </c>
      <c r="T414" s="5" t="str">
        <v>fiction</v>
      </c>
    </row>
    <row r="415" spans="1:20" ht="19.5" x14ac:dyDescent="0.4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 s="4">
        <f t="shared" si="24"/>
        <v>62.072823218997364</v>
      </c>
      <c r="K415">
        <v>1543298400</v>
      </c>
      <c r="L415" s="5">
        <f t="shared" si="25"/>
        <v>108.01469237832875</v>
      </c>
      <c r="M415">
        <v>1545631200</v>
      </c>
      <c r="N415" s="9">
        <f t="shared" si="26"/>
        <v>43431.25</v>
      </c>
      <c r="O415" s="9">
        <f t="shared" si="27"/>
        <v>43458.25</v>
      </c>
      <c r="P415" t="b">
        <v>0</v>
      </c>
      <c r="Q415" t="b">
        <v>0</v>
      </c>
      <c r="R415" t="s">
        <v>71</v>
      </c>
      <c r="S415" s="5" t="str" cm="1">
        <f t="array" ref="S415:T415">_xlfn.TEXTSPLIT(R415, "/")</f>
        <v>film &amp; video</v>
      </c>
      <c r="T415" s="5" t="str">
        <v>animation</v>
      </c>
    </row>
    <row r="416" spans="1:20" ht="19.5" x14ac:dyDescent="0.4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 s="4">
        <f t="shared" si="24"/>
        <v>84.699787460148784</v>
      </c>
      <c r="K416">
        <v>1271739600</v>
      </c>
      <c r="L416" s="5">
        <f t="shared" si="25"/>
        <v>28.998544660724033</v>
      </c>
      <c r="M416">
        <v>1272430800</v>
      </c>
      <c r="N416" s="9">
        <f t="shared" si="26"/>
        <v>40288.208333333336</v>
      </c>
      <c r="O416" s="9">
        <f t="shared" si="27"/>
        <v>40296.208333333336</v>
      </c>
      <c r="P416" t="b">
        <v>0</v>
      </c>
      <c r="Q416" t="b">
        <v>1</v>
      </c>
      <c r="R416" t="s">
        <v>17</v>
      </c>
      <c r="S416" s="5" t="str" cm="1">
        <f t="array" ref="S416:T416">_xlfn.TEXTSPLIT(R416, "/")</f>
        <v>food</v>
      </c>
      <c r="T416" s="5" t="str">
        <v>food trucks</v>
      </c>
    </row>
    <row r="417" spans="1:20" ht="19.5" x14ac:dyDescent="0.4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 s="4">
        <f t="shared" si="24"/>
        <v>11.059030837004405</v>
      </c>
      <c r="K417">
        <v>1326434400</v>
      </c>
      <c r="L417" s="5">
        <f t="shared" si="25"/>
        <v>30.028708133971293</v>
      </c>
      <c r="M417">
        <v>1327903200</v>
      </c>
      <c r="N417" s="9">
        <f t="shared" si="26"/>
        <v>40921.25</v>
      </c>
      <c r="O417" s="9">
        <f t="shared" si="27"/>
        <v>40938.25</v>
      </c>
      <c r="P417" t="b">
        <v>0</v>
      </c>
      <c r="Q417" t="b">
        <v>0</v>
      </c>
      <c r="R417" t="s">
        <v>33</v>
      </c>
      <c r="S417" s="5" t="str" cm="1">
        <f t="array" ref="S417:T417">_xlfn.TEXTSPLIT(R417, "/")</f>
        <v>theater</v>
      </c>
      <c r="T417" s="5" t="str">
        <v>plays</v>
      </c>
    </row>
    <row r="418" spans="1:20" ht="33.75" x14ac:dyDescent="0.4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 s="4">
        <f t="shared" si="24"/>
        <v>43.838781575037146</v>
      </c>
      <c r="K418">
        <v>1295244000</v>
      </c>
      <c r="L418" s="5">
        <f t="shared" si="25"/>
        <v>41.005559416261292</v>
      </c>
      <c r="M418">
        <v>1296021600</v>
      </c>
      <c r="N418" s="9">
        <f t="shared" si="26"/>
        <v>40560.25</v>
      </c>
      <c r="O418" s="9">
        <f t="shared" si="27"/>
        <v>40569.25</v>
      </c>
      <c r="P418" t="b">
        <v>0</v>
      </c>
      <c r="Q418" t="b">
        <v>1</v>
      </c>
      <c r="R418" t="s">
        <v>42</v>
      </c>
      <c r="S418" s="5" t="str" cm="1">
        <f t="array" ref="S418:T418">_xlfn.TEXTSPLIT(R418, "/")</f>
        <v>film &amp; video</v>
      </c>
      <c r="T418" s="5" t="str">
        <v>documentary</v>
      </c>
    </row>
    <row r="419" spans="1:20" ht="19.5" x14ac:dyDescent="0.4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 s="4">
        <f t="shared" si="24"/>
        <v>55.470588235294116</v>
      </c>
      <c r="K419">
        <v>1541221200</v>
      </c>
      <c r="L419" s="5">
        <f t="shared" si="25"/>
        <v>62.866666666666667</v>
      </c>
      <c r="M419">
        <v>1543298400</v>
      </c>
      <c r="N419" s="9">
        <f t="shared" si="26"/>
        <v>43407.208333333328</v>
      </c>
      <c r="O419" s="9">
        <f t="shared" si="27"/>
        <v>43431.25</v>
      </c>
      <c r="P419" t="b">
        <v>0</v>
      </c>
      <c r="Q419" t="b">
        <v>0</v>
      </c>
      <c r="R419" t="s">
        <v>33</v>
      </c>
      <c r="S419" s="5" t="str" cm="1">
        <f t="array" ref="S419:T419">_xlfn.TEXTSPLIT(R419, "/")</f>
        <v>theater</v>
      </c>
      <c r="T419" s="5" t="str">
        <v>plays</v>
      </c>
    </row>
    <row r="420" spans="1:20" ht="19.5" x14ac:dyDescent="0.4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 s="4">
        <f t="shared" si="24"/>
        <v>57.399511301160658</v>
      </c>
      <c r="K420">
        <v>1336280400</v>
      </c>
      <c r="L420" s="5">
        <f t="shared" si="25"/>
        <v>47.005002501250623</v>
      </c>
      <c r="M420">
        <v>1336366800</v>
      </c>
      <c r="N420" s="9">
        <f t="shared" si="26"/>
        <v>41035.208333333336</v>
      </c>
      <c r="O420" s="9">
        <f t="shared" si="27"/>
        <v>41036.208333333336</v>
      </c>
      <c r="P420" t="b">
        <v>0</v>
      </c>
      <c r="Q420" t="b">
        <v>0</v>
      </c>
      <c r="R420" t="s">
        <v>42</v>
      </c>
      <c r="S420" s="5" t="str" cm="1">
        <f t="array" ref="S420:T420">_xlfn.TEXTSPLIT(R420, "/")</f>
        <v>film &amp; video</v>
      </c>
      <c r="T420" s="5" t="str">
        <v>documentary</v>
      </c>
    </row>
    <row r="421" spans="1:20" ht="19.5" x14ac:dyDescent="0.4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 s="4">
        <f t="shared" si="24"/>
        <v>123.43497363796135</v>
      </c>
      <c r="K421">
        <v>1324533600</v>
      </c>
      <c r="L421" s="5">
        <f t="shared" si="25"/>
        <v>26.997693638285604</v>
      </c>
      <c r="M421">
        <v>1325052000</v>
      </c>
      <c r="N421" s="9">
        <f t="shared" si="26"/>
        <v>40899.25</v>
      </c>
      <c r="O421" s="9">
        <f t="shared" si="27"/>
        <v>40905.25</v>
      </c>
      <c r="P421" t="b">
        <v>0</v>
      </c>
      <c r="Q421" t="b">
        <v>0</v>
      </c>
      <c r="R421" t="s">
        <v>28</v>
      </c>
      <c r="S421" s="5" t="str" cm="1">
        <f t="array" ref="S421:T421">_xlfn.TEXTSPLIT(R421, "/")</f>
        <v>technology</v>
      </c>
      <c r="T421" s="5" t="str">
        <v>web</v>
      </c>
    </row>
    <row r="422" spans="1:20" ht="19.5" x14ac:dyDescent="0.4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 s="4">
        <f t="shared" si="24"/>
        <v>128.46</v>
      </c>
      <c r="K422">
        <v>1498366800</v>
      </c>
      <c r="L422" s="5">
        <f t="shared" si="25"/>
        <v>68.329787234042556</v>
      </c>
      <c r="M422">
        <v>1499576400</v>
      </c>
      <c r="N422" s="9">
        <f t="shared" si="26"/>
        <v>42911.208333333328</v>
      </c>
      <c r="O422" s="9">
        <f t="shared" si="27"/>
        <v>42925.208333333328</v>
      </c>
      <c r="P422" t="b">
        <v>0</v>
      </c>
      <c r="Q422" t="b">
        <v>0</v>
      </c>
      <c r="R422" t="s">
        <v>33</v>
      </c>
      <c r="S422" s="5" t="str" cm="1">
        <f t="array" ref="S422:T422">_xlfn.TEXTSPLIT(R422, "/")</f>
        <v>theater</v>
      </c>
      <c r="T422" s="5" t="str">
        <v>plays</v>
      </c>
    </row>
    <row r="423" spans="1:20" ht="19.5" x14ac:dyDescent="0.4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 s="4">
        <f t="shared" si="24"/>
        <v>63.989361702127653</v>
      </c>
      <c r="K423">
        <v>1498712400</v>
      </c>
      <c r="L423" s="5">
        <f t="shared" si="25"/>
        <v>50.974576271186443</v>
      </c>
      <c r="M423">
        <v>1501304400</v>
      </c>
      <c r="N423" s="9">
        <f t="shared" si="26"/>
        <v>42915.208333333328</v>
      </c>
      <c r="O423" s="9">
        <f t="shared" si="27"/>
        <v>42945.208333333328</v>
      </c>
      <c r="P423" t="b">
        <v>0</v>
      </c>
      <c r="Q423" t="b">
        <v>1</v>
      </c>
      <c r="R423" t="s">
        <v>65</v>
      </c>
      <c r="S423" s="5" t="str" cm="1">
        <f t="array" ref="S423:T423">_xlfn.TEXTSPLIT(R423, "/")</f>
        <v>technology</v>
      </c>
      <c r="T423" s="5" t="str">
        <v>wearables</v>
      </c>
    </row>
    <row r="424" spans="1:20" ht="33.75" x14ac:dyDescent="0.4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 s="4">
        <f t="shared" si="24"/>
        <v>127.29885057471265</v>
      </c>
      <c r="K424">
        <v>1271480400</v>
      </c>
      <c r="L424" s="5">
        <f t="shared" si="25"/>
        <v>54.024390243902438</v>
      </c>
      <c r="M424">
        <v>1273208400</v>
      </c>
      <c r="N424" s="9">
        <f t="shared" si="26"/>
        <v>40285.208333333336</v>
      </c>
      <c r="O424" s="9">
        <f t="shared" si="27"/>
        <v>40305.208333333336</v>
      </c>
      <c r="P424" t="b">
        <v>0</v>
      </c>
      <c r="Q424" t="b">
        <v>1</v>
      </c>
      <c r="R424" t="s">
        <v>33</v>
      </c>
      <c r="S424" s="5" t="str" cm="1">
        <f t="array" ref="S424:T424">_xlfn.TEXTSPLIT(R424, "/")</f>
        <v>theater</v>
      </c>
      <c r="T424" s="5" t="str">
        <v>plays</v>
      </c>
    </row>
    <row r="425" spans="1:20" ht="19.5" x14ac:dyDescent="0.4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 s="4">
        <f t="shared" si="24"/>
        <v>10.638024357239512</v>
      </c>
      <c r="K425">
        <v>1316667600</v>
      </c>
      <c r="L425" s="5">
        <f t="shared" si="25"/>
        <v>97.055555555555557</v>
      </c>
      <c r="M425">
        <v>1316840400</v>
      </c>
      <c r="N425" s="9">
        <f t="shared" si="26"/>
        <v>40808.208333333336</v>
      </c>
      <c r="O425" s="9">
        <f t="shared" si="27"/>
        <v>40810.208333333336</v>
      </c>
      <c r="P425" t="b">
        <v>0</v>
      </c>
      <c r="Q425" t="b">
        <v>1</v>
      </c>
      <c r="R425" t="s">
        <v>17</v>
      </c>
      <c r="S425" s="5" t="str" cm="1">
        <f t="array" ref="S425:T425">_xlfn.TEXTSPLIT(R425, "/")</f>
        <v>food</v>
      </c>
      <c r="T425" s="5" t="str">
        <v>food trucks</v>
      </c>
    </row>
    <row r="426" spans="1:20" ht="19.5" x14ac:dyDescent="0.4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 s="4">
        <f t="shared" si="24"/>
        <v>40.470588235294116</v>
      </c>
      <c r="K426">
        <v>1524027600</v>
      </c>
      <c r="L426" s="5">
        <f t="shared" si="25"/>
        <v>24.867469879518072</v>
      </c>
      <c r="M426">
        <v>1524546000</v>
      </c>
      <c r="N426" s="9">
        <f t="shared" si="26"/>
        <v>43208.208333333328</v>
      </c>
      <c r="O426" s="9">
        <f t="shared" si="27"/>
        <v>43214.208333333328</v>
      </c>
      <c r="P426" t="b">
        <v>0</v>
      </c>
      <c r="Q426" t="b">
        <v>0</v>
      </c>
      <c r="R426" t="s">
        <v>60</v>
      </c>
      <c r="S426" s="5" t="str" cm="1">
        <f t="array" ref="S426:T426">_xlfn.TEXTSPLIT(R426, "/")</f>
        <v>music</v>
      </c>
      <c r="T426" s="5" t="str">
        <v>indie rock</v>
      </c>
    </row>
    <row r="427" spans="1:20" ht="19.5" x14ac:dyDescent="0.4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 s="4">
        <f t="shared" si="24"/>
        <v>287.66666666666663</v>
      </c>
      <c r="K427">
        <v>1438059600</v>
      </c>
      <c r="L427" s="5">
        <f t="shared" si="25"/>
        <v>84.423913043478265</v>
      </c>
      <c r="M427">
        <v>1438578000</v>
      </c>
      <c r="N427" s="9">
        <f t="shared" si="26"/>
        <v>42213.208333333328</v>
      </c>
      <c r="O427" s="9">
        <f t="shared" si="27"/>
        <v>42219.208333333328</v>
      </c>
      <c r="P427" t="b">
        <v>0</v>
      </c>
      <c r="Q427" t="b">
        <v>0</v>
      </c>
      <c r="R427" t="s">
        <v>122</v>
      </c>
      <c r="S427" s="5" t="str" cm="1">
        <f t="array" ref="S427:T427">_xlfn.TEXTSPLIT(R427, "/")</f>
        <v>photography</v>
      </c>
      <c r="T427" s="5" t="str">
        <v>photography books</v>
      </c>
    </row>
    <row r="428" spans="1:20" ht="19.5" x14ac:dyDescent="0.4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 s="4">
        <f t="shared" si="24"/>
        <v>572.94444444444446</v>
      </c>
      <c r="K428">
        <v>1361944800</v>
      </c>
      <c r="L428" s="5">
        <f t="shared" si="25"/>
        <v>47.091324200913242</v>
      </c>
      <c r="M428">
        <v>1362549600</v>
      </c>
      <c r="N428" s="9">
        <f t="shared" si="26"/>
        <v>41332.25</v>
      </c>
      <c r="O428" s="9">
        <f t="shared" si="27"/>
        <v>41339.25</v>
      </c>
      <c r="P428" t="b">
        <v>0</v>
      </c>
      <c r="Q428" t="b">
        <v>0</v>
      </c>
      <c r="R428" t="s">
        <v>33</v>
      </c>
      <c r="S428" s="5" t="str" cm="1">
        <f t="array" ref="S428:T428">_xlfn.TEXTSPLIT(R428, "/")</f>
        <v>theater</v>
      </c>
      <c r="T428" s="5" t="str">
        <v>plays</v>
      </c>
    </row>
    <row r="429" spans="1:20" ht="19.5" x14ac:dyDescent="0.4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 s="4">
        <f t="shared" si="24"/>
        <v>112.90429799426933</v>
      </c>
      <c r="K429">
        <v>1410584400</v>
      </c>
      <c r="L429" s="5">
        <f t="shared" si="25"/>
        <v>77.996041171813147</v>
      </c>
      <c r="M429">
        <v>1413349200</v>
      </c>
      <c r="N429" s="9">
        <f t="shared" si="26"/>
        <v>41895.208333333336</v>
      </c>
      <c r="O429" s="9">
        <f t="shared" si="27"/>
        <v>41927.208333333336</v>
      </c>
      <c r="P429" t="b">
        <v>0</v>
      </c>
      <c r="Q429" t="b">
        <v>1</v>
      </c>
      <c r="R429" t="s">
        <v>33</v>
      </c>
      <c r="S429" s="5" t="str" cm="1">
        <f t="array" ref="S429:T429">_xlfn.TEXTSPLIT(R429, "/")</f>
        <v>theater</v>
      </c>
      <c r="T429" s="5" t="str">
        <v>plays</v>
      </c>
    </row>
    <row r="430" spans="1:20" ht="19.5" x14ac:dyDescent="0.4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 s="4">
        <f t="shared" si="24"/>
        <v>46.387573964497044</v>
      </c>
      <c r="K430">
        <v>1297404000</v>
      </c>
      <c r="L430" s="5">
        <f t="shared" si="25"/>
        <v>62.967871485943775</v>
      </c>
      <c r="M430">
        <v>1298008800</v>
      </c>
      <c r="N430" s="9">
        <f t="shared" si="26"/>
        <v>40585.25</v>
      </c>
      <c r="O430" s="9">
        <f t="shared" si="27"/>
        <v>40592.25</v>
      </c>
      <c r="P430" t="b">
        <v>0</v>
      </c>
      <c r="Q430" t="b">
        <v>0</v>
      </c>
      <c r="R430" t="s">
        <v>71</v>
      </c>
      <c r="S430" s="5" t="str" cm="1">
        <f t="array" ref="S430:T430">_xlfn.TEXTSPLIT(R430, "/")</f>
        <v>film &amp; video</v>
      </c>
      <c r="T430" s="5" t="str">
        <v>animation</v>
      </c>
    </row>
    <row r="431" spans="1:20" ht="19.5" x14ac:dyDescent="0.4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 s="4">
        <f t="shared" si="24"/>
        <v>90.675916230366497</v>
      </c>
      <c r="K431">
        <v>1392012000</v>
      </c>
      <c r="L431" s="5">
        <f t="shared" si="25"/>
        <v>81.006080449017773</v>
      </c>
      <c r="M431">
        <v>1394427600</v>
      </c>
      <c r="N431" s="9">
        <f t="shared" si="26"/>
        <v>41680.25</v>
      </c>
      <c r="O431" s="9">
        <f t="shared" si="27"/>
        <v>41708.208333333336</v>
      </c>
      <c r="P431" t="b">
        <v>0</v>
      </c>
      <c r="Q431" t="b">
        <v>1</v>
      </c>
      <c r="R431" t="s">
        <v>122</v>
      </c>
      <c r="S431" s="5" t="str" cm="1">
        <f t="array" ref="S431:T431">_xlfn.TEXTSPLIT(R431, "/")</f>
        <v>photography</v>
      </c>
      <c r="T431" s="5" t="str">
        <v>photography books</v>
      </c>
    </row>
    <row r="432" spans="1:20" ht="19.5" x14ac:dyDescent="0.4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 s="4">
        <f t="shared" si="24"/>
        <v>67.740740740740748</v>
      </c>
      <c r="K432">
        <v>1569733200</v>
      </c>
      <c r="L432" s="5">
        <f t="shared" si="25"/>
        <v>65.321428571428569</v>
      </c>
      <c r="M432">
        <v>1572670800</v>
      </c>
      <c r="N432" s="9">
        <f t="shared" si="26"/>
        <v>43737.208333333328</v>
      </c>
      <c r="O432" s="9">
        <f t="shared" si="27"/>
        <v>43771.208333333328</v>
      </c>
      <c r="P432" t="b">
        <v>0</v>
      </c>
      <c r="Q432" t="b">
        <v>0</v>
      </c>
      <c r="R432" t="s">
        <v>33</v>
      </c>
      <c r="S432" s="5" t="str" cm="1">
        <f t="array" ref="S432:T432">_xlfn.TEXTSPLIT(R432, "/")</f>
        <v>theater</v>
      </c>
      <c r="T432" s="5" t="str">
        <v>plays</v>
      </c>
    </row>
    <row r="433" spans="1:20" ht="19.5" x14ac:dyDescent="0.4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 s="4">
        <f t="shared" si="24"/>
        <v>192.49019607843135</v>
      </c>
      <c r="K433">
        <v>1529643600</v>
      </c>
      <c r="L433" s="5">
        <f t="shared" si="25"/>
        <v>104.43617021276596</v>
      </c>
      <c r="M433">
        <v>1531112400</v>
      </c>
      <c r="N433" s="9">
        <f t="shared" si="26"/>
        <v>43273.208333333328</v>
      </c>
      <c r="O433" s="9">
        <f t="shared" si="27"/>
        <v>43290.208333333328</v>
      </c>
      <c r="P433" t="b">
        <v>1</v>
      </c>
      <c r="Q433" t="b">
        <v>0</v>
      </c>
      <c r="R433" t="s">
        <v>33</v>
      </c>
      <c r="S433" s="5" t="str" cm="1">
        <f t="array" ref="S433:T433">_xlfn.TEXTSPLIT(R433, "/")</f>
        <v>theater</v>
      </c>
      <c r="T433" s="5" t="str">
        <v>plays</v>
      </c>
    </row>
    <row r="434" spans="1:20" ht="19.5" x14ac:dyDescent="0.4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 s="4">
        <f t="shared" si="24"/>
        <v>82.714285714285722</v>
      </c>
      <c r="K434">
        <v>1399006800</v>
      </c>
      <c r="L434" s="5">
        <f t="shared" si="25"/>
        <v>69.989010989010993</v>
      </c>
      <c r="M434">
        <v>1400734800</v>
      </c>
      <c r="N434" s="9">
        <f t="shared" si="26"/>
        <v>41761.208333333336</v>
      </c>
      <c r="O434" s="9">
        <f t="shared" si="27"/>
        <v>41781.208333333336</v>
      </c>
      <c r="P434" t="b">
        <v>0</v>
      </c>
      <c r="Q434" t="b">
        <v>0</v>
      </c>
      <c r="R434" t="s">
        <v>33</v>
      </c>
      <c r="S434" s="5" t="str" cm="1">
        <f t="array" ref="S434:T434">_xlfn.TEXTSPLIT(R434, "/")</f>
        <v>theater</v>
      </c>
      <c r="T434" s="5" t="str">
        <v>plays</v>
      </c>
    </row>
    <row r="435" spans="1:20" ht="19.5" x14ac:dyDescent="0.4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 s="4">
        <f t="shared" si="24"/>
        <v>54.163920922570021</v>
      </c>
      <c r="K435">
        <v>1385359200</v>
      </c>
      <c r="L435" s="5">
        <f t="shared" si="25"/>
        <v>83.023989898989896</v>
      </c>
      <c r="M435">
        <v>1386741600</v>
      </c>
      <c r="N435" s="9">
        <f t="shared" si="26"/>
        <v>41603.25</v>
      </c>
      <c r="O435" s="9">
        <f t="shared" si="27"/>
        <v>41619.25</v>
      </c>
      <c r="P435" t="b">
        <v>0</v>
      </c>
      <c r="Q435" t="b">
        <v>1</v>
      </c>
      <c r="R435" t="s">
        <v>42</v>
      </c>
      <c r="S435" s="5" t="str" cm="1">
        <f t="array" ref="S435:T435">_xlfn.TEXTSPLIT(R435, "/")</f>
        <v>film &amp; video</v>
      </c>
      <c r="T435" s="5" t="str">
        <v>documentary</v>
      </c>
    </row>
    <row r="436" spans="1:20" ht="19.5" x14ac:dyDescent="0.4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 s="4">
        <f t="shared" si="24"/>
        <v>16.722222222222221</v>
      </c>
      <c r="K436">
        <v>1480572000</v>
      </c>
      <c r="L436" s="5">
        <f t="shared" si="25"/>
        <v>90.3</v>
      </c>
      <c r="M436">
        <v>1481781600</v>
      </c>
      <c r="N436" s="9">
        <f t="shared" si="26"/>
        <v>42705.25</v>
      </c>
      <c r="O436" s="9">
        <f t="shared" si="27"/>
        <v>42719.25</v>
      </c>
      <c r="P436" t="b">
        <v>1</v>
      </c>
      <c r="Q436" t="b">
        <v>0</v>
      </c>
      <c r="R436" t="s">
        <v>33</v>
      </c>
      <c r="S436" s="5" t="str" cm="1">
        <f t="array" ref="S436:T436">_xlfn.TEXTSPLIT(R436, "/")</f>
        <v>theater</v>
      </c>
      <c r="T436" s="5" t="str">
        <v>plays</v>
      </c>
    </row>
    <row r="437" spans="1:20" ht="19.5" x14ac:dyDescent="0.4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 s="4">
        <f t="shared" si="24"/>
        <v>116.87664041994749</v>
      </c>
      <c r="K437">
        <v>1418623200</v>
      </c>
      <c r="L437" s="5">
        <f t="shared" si="25"/>
        <v>103.98131932282546</v>
      </c>
      <c r="M437">
        <v>1419660000</v>
      </c>
      <c r="N437" s="9">
        <f t="shared" si="26"/>
        <v>41988.25</v>
      </c>
      <c r="O437" s="9">
        <f t="shared" si="27"/>
        <v>42000.25</v>
      </c>
      <c r="P437" t="b">
        <v>0</v>
      </c>
      <c r="Q437" t="b">
        <v>1</v>
      </c>
      <c r="R437" t="s">
        <v>33</v>
      </c>
      <c r="S437" s="5" t="str" cm="1">
        <f t="array" ref="S437:T437">_xlfn.TEXTSPLIT(R437, "/")</f>
        <v>theater</v>
      </c>
      <c r="T437" s="5" t="str">
        <v>plays</v>
      </c>
    </row>
    <row r="438" spans="1:20" ht="19.5" x14ac:dyDescent="0.4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 s="4">
        <f t="shared" si="24"/>
        <v>1052.1538461538462</v>
      </c>
      <c r="K438">
        <v>1555736400</v>
      </c>
      <c r="L438" s="5">
        <f t="shared" si="25"/>
        <v>54.931726907630519</v>
      </c>
      <c r="M438">
        <v>1555822800</v>
      </c>
      <c r="N438" s="9">
        <f t="shared" si="26"/>
        <v>43575.208333333328</v>
      </c>
      <c r="O438" s="9">
        <f t="shared" si="27"/>
        <v>43576.208333333328</v>
      </c>
      <c r="P438" t="b">
        <v>0</v>
      </c>
      <c r="Q438" t="b">
        <v>0</v>
      </c>
      <c r="R438" t="s">
        <v>159</v>
      </c>
      <c r="S438" s="5" t="str" cm="1">
        <f t="array" ref="S438:T438">_xlfn.TEXTSPLIT(R438, "/")</f>
        <v>music</v>
      </c>
      <c r="T438" s="5" t="str">
        <v>jazz</v>
      </c>
    </row>
    <row r="439" spans="1:20" ht="19.5" x14ac:dyDescent="0.4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 s="4">
        <f t="shared" si="24"/>
        <v>123.07407407407408</v>
      </c>
      <c r="K439">
        <v>1442120400</v>
      </c>
      <c r="L439" s="5">
        <f t="shared" si="25"/>
        <v>51.921875</v>
      </c>
      <c r="M439">
        <v>1442379600</v>
      </c>
      <c r="N439" s="9">
        <f t="shared" si="26"/>
        <v>42260.208333333328</v>
      </c>
      <c r="O439" s="9">
        <f t="shared" si="27"/>
        <v>42263.208333333328</v>
      </c>
      <c r="P439" t="b">
        <v>0</v>
      </c>
      <c r="Q439" t="b">
        <v>1</v>
      </c>
      <c r="R439" t="s">
        <v>71</v>
      </c>
      <c r="S439" s="5" t="str" cm="1">
        <f t="array" ref="S439:T439">_xlfn.TEXTSPLIT(R439, "/")</f>
        <v>film &amp; video</v>
      </c>
      <c r="T439" s="5" t="str">
        <v>animation</v>
      </c>
    </row>
    <row r="440" spans="1:20" ht="33.75" x14ac:dyDescent="0.4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 s="4">
        <f t="shared" si="24"/>
        <v>178.63855421686748</v>
      </c>
      <c r="K440">
        <v>1362376800</v>
      </c>
      <c r="L440" s="5">
        <f t="shared" si="25"/>
        <v>60.02834008097166</v>
      </c>
      <c r="M440">
        <v>1364965200</v>
      </c>
      <c r="N440" s="9">
        <f t="shared" si="26"/>
        <v>41337.25</v>
      </c>
      <c r="O440" s="9">
        <f t="shared" si="27"/>
        <v>41367.208333333336</v>
      </c>
      <c r="P440" t="b">
        <v>0</v>
      </c>
      <c r="Q440" t="b">
        <v>0</v>
      </c>
      <c r="R440" t="s">
        <v>33</v>
      </c>
      <c r="S440" s="5" t="str" cm="1">
        <f t="array" ref="S440:T440">_xlfn.TEXTSPLIT(R440, "/")</f>
        <v>theater</v>
      </c>
      <c r="T440" s="5" t="str">
        <v>plays</v>
      </c>
    </row>
    <row r="441" spans="1:20" ht="19.5" x14ac:dyDescent="0.4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 s="4">
        <f t="shared" si="24"/>
        <v>355.28169014084506</v>
      </c>
      <c r="K441">
        <v>1478408400</v>
      </c>
      <c r="L441" s="5">
        <f t="shared" si="25"/>
        <v>44.003488879197555</v>
      </c>
      <c r="M441">
        <v>1479016800</v>
      </c>
      <c r="N441" s="9">
        <f t="shared" si="26"/>
        <v>42680.208333333328</v>
      </c>
      <c r="O441" s="9">
        <f t="shared" si="27"/>
        <v>42687.25</v>
      </c>
      <c r="P441" t="b">
        <v>0</v>
      </c>
      <c r="Q441" t="b">
        <v>0</v>
      </c>
      <c r="R441" t="s">
        <v>474</v>
      </c>
      <c r="S441" s="5" t="str" cm="1">
        <f t="array" ref="S441:T441">_xlfn.TEXTSPLIT(R441, "/")</f>
        <v>film &amp; video</v>
      </c>
      <c r="T441" s="5" t="str">
        <v>science fiction</v>
      </c>
    </row>
    <row r="442" spans="1:20" ht="19.5" x14ac:dyDescent="0.4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 s="4">
        <f t="shared" si="24"/>
        <v>161.90634146341463</v>
      </c>
      <c r="K442">
        <v>1498798800</v>
      </c>
      <c r="L442" s="5">
        <f t="shared" si="25"/>
        <v>53.003513254551258</v>
      </c>
      <c r="M442">
        <v>1499662800</v>
      </c>
      <c r="N442" s="9">
        <f t="shared" si="26"/>
        <v>42916.208333333328</v>
      </c>
      <c r="O442" s="9">
        <f t="shared" si="27"/>
        <v>42926.208333333328</v>
      </c>
      <c r="P442" t="b">
        <v>0</v>
      </c>
      <c r="Q442" t="b">
        <v>0</v>
      </c>
      <c r="R442" t="s">
        <v>269</v>
      </c>
      <c r="S442" s="5" t="str" cm="1">
        <f t="array" ref="S442:T442">_xlfn.TEXTSPLIT(R442, "/")</f>
        <v>film &amp; video</v>
      </c>
      <c r="T442" s="5" t="str">
        <v>television</v>
      </c>
    </row>
    <row r="443" spans="1:20" ht="19.5" x14ac:dyDescent="0.4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 s="4">
        <f t="shared" si="24"/>
        <v>24.914285714285715</v>
      </c>
      <c r="K443">
        <v>1335416400</v>
      </c>
      <c r="L443" s="5">
        <f t="shared" si="25"/>
        <v>54.5</v>
      </c>
      <c r="M443">
        <v>1337835600</v>
      </c>
      <c r="N443" s="9">
        <f t="shared" si="26"/>
        <v>41025.208333333336</v>
      </c>
      <c r="O443" s="9">
        <f t="shared" si="27"/>
        <v>41053.208333333336</v>
      </c>
      <c r="P443" t="b">
        <v>0</v>
      </c>
      <c r="Q443" t="b">
        <v>0</v>
      </c>
      <c r="R443" t="s">
        <v>65</v>
      </c>
      <c r="S443" s="5" t="str" cm="1">
        <f t="array" ref="S443:T443">_xlfn.TEXTSPLIT(R443, "/")</f>
        <v>technology</v>
      </c>
      <c r="T443" s="5" t="str">
        <v>wearables</v>
      </c>
    </row>
    <row r="444" spans="1:20" ht="19.5" x14ac:dyDescent="0.4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 s="4">
        <f t="shared" si="24"/>
        <v>198.72222222222223</v>
      </c>
      <c r="K444">
        <v>1504328400</v>
      </c>
      <c r="L444" s="5">
        <f t="shared" si="25"/>
        <v>75.04195804195804</v>
      </c>
      <c r="M444">
        <v>1505710800</v>
      </c>
      <c r="N444" s="9">
        <f t="shared" si="26"/>
        <v>42980.208333333328</v>
      </c>
      <c r="O444" s="9">
        <f t="shared" si="27"/>
        <v>42996.208333333328</v>
      </c>
      <c r="P444" t="b">
        <v>0</v>
      </c>
      <c r="Q444" t="b">
        <v>0</v>
      </c>
      <c r="R444" t="s">
        <v>33</v>
      </c>
      <c r="S444" s="5" t="str" cm="1">
        <f t="array" ref="S444:T444">_xlfn.TEXTSPLIT(R444, "/")</f>
        <v>theater</v>
      </c>
      <c r="T444" s="5" t="str">
        <v>plays</v>
      </c>
    </row>
    <row r="445" spans="1:20" ht="19.5" x14ac:dyDescent="0.4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 s="4">
        <f t="shared" si="24"/>
        <v>34.752688172043008</v>
      </c>
      <c r="K445">
        <v>1285822800</v>
      </c>
      <c r="L445" s="5">
        <f t="shared" si="25"/>
        <v>35.911111111111111</v>
      </c>
      <c r="M445">
        <v>1287464400</v>
      </c>
      <c r="N445" s="9">
        <f t="shared" si="26"/>
        <v>40451.208333333336</v>
      </c>
      <c r="O445" s="9">
        <f t="shared" si="27"/>
        <v>40470.208333333336</v>
      </c>
      <c r="P445" t="b">
        <v>0</v>
      </c>
      <c r="Q445" t="b">
        <v>0</v>
      </c>
      <c r="R445" t="s">
        <v>33</v>
      </c>
      <c r="S445" s="5" t="str" cm="1">
        <f t="array" ref="S445:T445">_xlfn.TEXTSPLIT(R445, "/")</f>
        <v>theater</v>
      </c>
      <c r="T445" s="5" t="str">
        <v>plays</v>
      </c>
    </row>
    <row r="446" spans="1:20" ht="19.5" x14ac:dyDescent="0.4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 s="4">
        <f t="shared" si="24"/>
        <v>176.41935483870967</v>
      </c>
      <c r="K446">
        <v>1311483600</v>
      </c>
      <c r="L446" s="5">
        <f t="shared" si="25"/>
        <v>36.952702702702702</v>
      </c>
      <c r="M446">
        <v>1311656400</v>
      </c>
      <c r="N446" s="9">
        <f t="shared" si="26"/>
        <v>40748.208333333336</v>
      </c>
      <c r="O446" s="9">
        <f t="shared" si="27"/>
        <v>40750.208333333336</v>
      </c>
      <c r="P446" t="b">
        <v>0</v>
      </c>
      <c r="Q446" t="b">
        <v>1</v>
      </c>
      <c r="R446" t="s">
        <v>60</v>
      </c>
      <c r="S446" s="5" t="str" cm="1">
        <f t="array" ref="S446:T446">_xlfn.TEXTSPLIT(R446, "/")</f>
        <v>music</v>
      </c>
      <c r="T446" s="5" t="str">
        <v>indie rock</v>
      </c>
    </row>
    <row r="447" spans="1:20" ht="33.75" x14ac:dyDescent="0.4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 s="4">
        <f t="shared" si="24"/>
        <v>511.38095238095235</v>
      </c>
      <c r="K447">
        <v>1291356000</v>
      </c>
      <c r="L447" s="5">
        <f t="shared" si="25"/>
        <v>63.170588235294119</v>
      </c>
      <c r="M447">
        <v>1293170400</v>
      </c>
      <c r="N447" s="9">
        <f t="shared" si="26"/>
        <v>40515.25</v>
      </c>
      <c r="O447" s="9">
        <f t="shared" si="27"/>
        <v>40536.25</v>
      </c>
      <c r="P447" t="b">
        <v>0</v>
      </c>
      <c r="Q447" t="b">
        <v>1</v>
      </c>
      <c r="R447" t="s">
        <v>33</v>
      </c>
      <c r="S447" s="5" t="str" cm="1">
        <f t="array" ref="S447:T447">_xlfn.TEXTSPLIT(R447, "/")</f>
        <v>theater</v>
      </c>
      <c r="T447" s="5" t="str">
        <v>plays</v>
      </c>
    </row>
    <row r="448" spans="1:20" ht="19.5" x14ac:dyDescent="0.4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 s="4">
        <f t="shared" si="24"/>
        <v>82.044117647058826</v>
      </c>
      <c r="K448">
        <v>1355810400</v>
      </c>
      <c r="L448" s="5">
        <f t="shared" si="25"/>
        <v>29.99462365591398</v>
      </c>
      <c r="M448">
        <v>1355983200</v>
      </c>
      <c r="N448" s="9">
        <f t="shared" si="26"/>
        <v>41261.25</v>
      </c>
      <c r="O448" s="9">
        <f t="shared" si="27"/>
        <v>41263.25</v>
      </c>
      <c r="P448" t="b">
        <v>0</v>
      </c>
      <c r="Q448" t="b">
        <v>0</v>
      </c>
      <c r="R448" t="s">
        <v>65</v>
      </c>
      <c r="S448" s="5" t="str" cm="1">
        <f t="array" ref="S448:T448">_xlfn.TEXTSPLIT(R448, "/")</f>
        <v>technology</v>
      </c>
      <c r="T448" s="5" t="str">
        <v>wearables</v>
      </c>
    </row>
    <row r="449" spans="1:20" ht="33.75" x14ac:dyDescent="0.4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 s="4">
        <f t="shared" si="24"/>
        <v>24.326030927835053</v>
      </c>
      <c r="K449">
        <v>1513663200</v>
      </c>
      <c r="L449" s="5">
        <f t="shared" si="25"/>
        <v>86</v>
      </c>
      <c r="M449">
        <v>1515045600</v>
      </c>
      <c r="N449" s="9">
        <f t="shared" si="26"/>
        <v>43088.25</v>
      </c>
      <c r="O449" s="9">
        <f t="shared" si="27"/>
        <v>43104.25</v>
      </c>
      <c r="P449" t="b">
        <v>0</v>
      </c>
      <c r="Q449" t="b">
        <v>0</v>
      </c>
      <c r="R449" t="s">
        <v>269</v>
      </c>
      <c r="S449" s="5" t="str" cm="1">
        <f t="array" ref="S449:T449">_xlfn.TEXTSPLIT(R449, "/")</f>
        <v>film &amp; video</v>
      </c>
      <c r="T449" s="5" t="str">
        <v>television</v>
      </c>
    </row>
    <row r="450" spans="1:20" ht="19.5" x14ac:dyDescent="0.4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 s="4">
        <f t="shared" si="24"/>
        <v>50.482758620689658</v>
      </c>
      <c r="K450">
        <v>1365915600</v>
      </c>
      <c r="L450" s="5">
        <f t="shared" si="25"/>
        <v>75.014876033057845</v>
      </c>
      <c r="M450">
        <v>1366088400</v>
      </c>
      <c r="N450" s="9">
        <f t="shared" si="26"/>
        <v>41378.208333333336</v>
      </c>
      <c r="O450" s="9">
        <f t="shared" si="27"/>
        <v>41380.208333333336</v>
      </c>
      <c r="P450" t="b">
        <v>0</v>
      </c>
      <c r="Q450" t="b">
        <v>1</v>
      </c>
      <c r="R450" t="s">
        <v>89</v>
      </c>
      <c r="S450" s="5" t="str" cm="1">
        <f t="array" ref="S450:T450">_xlfn.TEXTSPLIT(R450, "/")</f>
        <v>games</v>
      </c>
      <c r="T450" s="5" t="str">
        <v>video games</v>
      </c>
    </row>
    <row r="451" spans="1:20" ht="19.5" x14ac:dyDescent="0.4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 s="4">
        <f t="shared" ref="J451:J514" si="28">(E451/D451*100)</f>
        <v>967</v>
      </c>
      <c r="K451">
        <v>1551852000</v>
      </c>
      <c r="L451" s="5">
        <f t="shared" ref="L451:L514" si="29">E451/G451</f>
        <v>101.19767441860465</v>
      </c>
      <c r="M451">
        <v>1553317200</v>
      </c>
      <c r="N451" s="9">
        <f t="shared" ref="N451:N514" si="30">(((K451/60)/60)/24)+DATE(1970,1,1)</f>
        <v>43530.25</v>
      </c>
      <c r="O451" s="9">
        <f t="shared" ref="O451:O514" si="31">(((M451/60)/60)/24)+DATE(1970,1,1)</f>
        <v>43547.208333333328</v>
      </c>
      <c r="P451" t="b">
        <v>0</v>
      </c>
      <c r="Q451" t="b">
        <v>0</v>
      </c>
      <c r="R451" t="s">
        <v>89</v>
      </c>
      <c r="S451" s="5" t="str" cm="1">
        <f t="array" ref="S451:T451">_xlfn.TEXTSPLIT(R451, "/")</f>
        <v>games</v>
      </c>
      <c r="T451" s="5" t="str">
        <v>video games</v>
      </c>
    </row>
    <row r="452" spans="1:20" ht="19.5" x14ac:dyDescent="0.4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 s="4">
        <f t="shared" si="28"/>
        <v>4</v>
      </c>
      <c r="K452">
        <v>1540098000</v>
      </c>
      <c r="L452" s="5">
        <f t="shared" si="29"/>
        <v>4</v>
      </c>
      <c r="M452">
        <v>1542088800</v>
      </c>
      <c r="N452" s="9">
        <f t="shared" si="30"/>
        <v>43394.208333333328</v>
      </c>
      <c r="O452" s="9">
        <f t="shared" si="31"/>
        <v>43417.25</v>
      </c>
      <c r="P452" t="b">
        <v>0</v>
      </c>
      <c r="Q452" t="b">
        <v>0</v>
      </c>
      <c r="R452" t="s">
        <v>71</v>
      </c>
      <c r="S452" s="5" t="str" cm="1">
        <f t="array" ref="S452:T452">_xlfn.TEXTSPLIT(R452, "/")</f>
        <v>film &amp; video</v>
      </c>
      <c r="T452" s="5" t="str">
        <v>animation</v>
      </c>
    </row>
    <row r="453" spans="1:20" ht="19.5" x14ac:dyDescent="0.4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 s="4">
        <f t="shared" si="28"/>
        <v>122.84501347708894</v>
      </c>
      <c r="K453">
        <v>1500440400</v>
      </c>
      <c r="L453" s="5">
        <f t="shared" si="29"/>
        <v>29.001272669424118</v>
      </c>
      <c r="M453">
        <v>1503118800</v>
      </c>
      <c r="N453" s="9">
        <f t="shared" si="30"/>
        <v>42935.208333333328</v>
      </c>
      <c r="O453" s="9">
        <f t="shared" si="31"/>
        <v>42966.208333333328</v>
      </c>
      <c r="P453" t="b">
        <v>0</v>
      </c>
      <c r="Q453" t="b">
        <v>0</v>
      </c>
      <c r="R453" t="s">
        <v>23</v>
      </c>
      <c r="S453" s="5" t="str" cm="1">
        <f t="array" ref="S453:T453">_xlfn.TEXTSPLIT(R453, "/")</f>
        <v>music</v>
      </c>
      <c r="T453" s="5" t="str">
        <v>rock</v>
      </c>
    </row>
    <row r="454" spans="1:20" ht="33.75" x14ac:dyDescent="0.4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 s="4">
        <f t="shared" si="28"/>
        <v>63.4375</v>
      </c>
      <c r="K454">
        <v>1278392400</v>
      </c>
      <c r="L454" s="5">
        <f t="shared" si="29"/>
        <v>98.225806451612897</v>
      </c>
      <c r="M454">
        <v>1278478800</v>
      </c>
      <c r="N454" s="9">
        <f t="shared" si="30"/>
        <v>40365.208333333336</v>
      </c>
      <c r="O454" s="9">
        <f t="shared" si="31"/>
        <v>40366.208333333336</v>
      </c>
      <c r="P454" t="b">
        <v>0</v>
      </c>
      <c r="Q454" t="b">
        <v>0</v>
      </c>
      <c r="R454" t="s">
        <v>53</v>
      </c>
      <c r="S454" s="5" t="str" cm="1">
        <f t="array" ref="S454:T454">_xlfn.TEXTSPLIT(R454, "/")</f>
        <v>film &amp; video</v>
      </c>
      <c r="T454" s="5" t="str">
        <v>drama</v>
      </c>
    </row>
    <row r="455" spans="1:20" ht="33.75" x14ac:dyDescent="0.4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 s="4">
        <f t="shared" si="28"/>
        <v>56.331688596491226</v>
      </c>
      <c r="K455">
        <v>1480572000</v>
      </c>
      <c r="L455" s="5">
        <f t="shared" si="29"/>
        <v>87.001693480101608</v>
      </c>
      <c r="M455">
        <v>1484114400</v>
      </c>
      <c r="N455" s="9">
        <f t="shared" si="30"/>
        <v>42705.25</v>
      </c>
      <c r="O455" s="9">
        <f t="shared" si="31"/>
        <v>42746.25</v>
      </c>
      <c r="P455" t="b">
        <v>0</v>
      </c>
      <c r="Q455" t="b">
        <v>0</v>
      </c>
      <c r="R455" t="s">
        <v>474</v>
      </c>
      <c r="S455" s="5" t="str" cm="1">
        <f t="array" ref="S455:T455">_xlfn.TEXTSPLIT(R455, "/")</f>
        <v>film &amp; video</v>
      </c>
      <c r="T455" s="5" t="str">
        <v>science fiction</v>
      </c>
    </row>
    <row r="456" spans="1:20" ht="19.5" x14ac:dyDescent="0.4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 s="4">
        <f t="shared" si="28"/>
        <v>44.074999999999996</v>
      </c>
      <c r="K456">
        <v>1382331600</v>
      </c>
      <c r="L456" s="5">
        <f t="shared" si="29"/>
        <v>45.205128205128204</v>
      </c>
      <c r="M456">
        <v>1385445600</v>
      </c>
      <c r="N456" s="9">
        <f t="shared" si="30"/>
        <v>41568.208333333336</v>
      </c>
      <c r="O456" s="9">
        <f t="shared" si="31"/>
        <v>41604.25</v>
      </c>
      <c r="P456" t="b">
        <v>0</v>
      </c>
      <c r="Q456" t="b">
        <v>1</v>
      </c>
      <c r="R456" t="s">
        <v>53</v>
      </c>
      <c r="S456" s="5" t="str" cm="1">
        <f t="array" ref="S456:T456">_xlfn.TEXTSPLIT(R456, "/")</f>
        <v>film &amp; video</v>
      </c>
      <c r="T456" s="5" t="str">
        <v>drama</v>
      </c>
    </row>
    <row r="457" spans="1:20" ht="19.5" x14ac:dyDescent="0.4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 s="4">
        <f t="shared" si="28"/>
        <v>118.37253218884121</v>
      </c>
      <c r="K457">
        <v>1316754000</v>
      </c>
      <c r="L457" s="5">
        <f t="shared" si="29"/>
        <v>37.001341561577675</v>
      </c>
      <c r="M457">
        <v>1318741200</v>
      </c>
      <c r="N457" s="9">
        <f t="shared" si="30"/>
        <v>40809.208333333336</v>
      </c>
      <c r="O457" s="9">
        <f t="shared" si="31"/>
        <v>40832.208333333336</v>
      </c>
      <c r="P457" t="b">
        <v>0</v>
      </c>
      <c r="Q457" t="b">
        <v>0</v>
      </c>
      <c r="R457" t="s">
        <v>33</v>
      </c>
      <c r="S457" s="5" t="str" cm="1">
        <f t="array" ref="S457:T457">_xlfn.TEXTSPLIT(R457, "/")</f>
        <v>theater</v>
      </c>
      <c r="T457" s="5" t="str">
        <v>plays</v>
      </c>
    </row>
    <row r="458" spans="1:20" ht="33.75" x14ac:dyDescent="0.4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 s="4">
        <f t="shared" si="28"/>
        <v>104.1243169398907</v>
      </c>
      <c r="K458">
        <v>1518242400</v>
      </c>
      <c r="L458" s="5">
        <f t="shared" si="29"/>
        <v>94.976947040498445</v>
      </c>
      <c r="M458">
        <v>1518242400</v>
      </c>
      <c r="N458" s="9">
        <f t="shared" si="30"/>
        <v>43141.25</v>
      </c>
      <c r="O458" s="9">
        <f t="shared" si="31"/>
        <v>43141.25</v>
      </c>
      <c r="P458" t="b">
        <v>0</v>
      </c>
      <c r="Q458" t="b">
        <v>1</v>
      </c>
      <c r="R458" t="s">
        <v>60</v>
      </c>
      <c r="S458" s="5" t="str" cm="1">
        <f t="array" ref="S458:T458">_xlfn.TEXTSPLIT(R458, "/")</f>
        <v>music</v>
      </c>
      <c r="T458" s="5" t="str">
        <v>indie rock</v>
      </c>
    </row>
    <row r="459" spans="1:20" ht="19.5" x14ac:dyDescent="0.4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 s="4">
        <f t="shared" si="28"/>
        <v>26.640000000000004</v>
      </c>
      <c r="K459">
        <v>1476421200</v>
      </c>
      <c r="L459" s="5">
        <f t="shared" si="29"/>
        <v>28.956521739130434</v>
      </c>
      <c r="M459">
        <v>1476594000</v>
      </c>
      <c r="N459" s="9">
        <f t="shared" si="30"/>
        <v>42657.208333333328</v>
      </c>
      <c r="O459" s="9">
        <f t="shared" si="31"/>
        <v>42659.208333333328</v>
      </c>
      <c r="P459" t="b">
        <v>0</v>
      </c>
      <c r="Q459" t="b">
        <v>0</v>
      </c>
      <c r="R459" t="s">
        <v>33</v>
      </c>
      <c r="S459" s="5" t="str" cm="1">
        <f t="array" ref="S459:T459">_xlfn.TEXTSPLIT(R459, "/")</f>
        <v>theater</v>
      </c>
      <c r="T459" s="5" t="str">
        <v>plays</v>
      </c>
    </row>
    <row r="460" spans="1:20" ht="19.5" x14ac:dyDescent="0.4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 s="4">
        <f t="shared" si="28"/>
        <v>351.20118343195264</v>
      </c>
      <c r="K460">
        <v>1269752400</v>
      </c>
      <c r="L460" s="5">
        <f t="shared" si="29"/>
        <v>55.993396226415094</v>
      </c>
      <c r="M460">
        <v>1273554000</v>
      </c>
      <c r="N460" s="9">
        <f t="shared" si="30"/>
        <v>40265.208333333336</v>
      </c>
      <c r="O460" s="9">
        <f t="shared" si="31"/>
        <v>40309.208333333336</v>
      </c>
      <c r="P460" t="b">
        <v>0</v>
      </c>
      <c r="Q460" t="b">
        <v>0</v>
      </c>
      <c r="R460" t="s">
        <v>33</v>
      </c>
      <c r="S460" s="5" t="str" cm="1">
        <f t="array" ref="S460:T460">_xlfn.TEXTSPLIT(R460, "/")</f>
        <v>theater</v>
      </c>
      <c r="T460" s="5" t="str">
        <v>plays</v>
      </c>
    </row>
    <row r="461" spans="1:20" ht="19.5" x14ac:dyDescent="0.4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 s="4">
        <f t="shared" si="28"/>
        <v>90.063492063492063</v>
      </c>
      <c r="K461">
        <v>1419746400</v>
      </c>
      <c r="L461" s="5">
        <f t="shared" si="29"/>
        <v>54.038095238095238</v>
      </c>
      <c r="M461">
        <v>1421906400</v>
      </c>
      <c r="N461" s="9">
        <f t="shared" si="30"/>
        <v>42001.25</v>
      </c>
      <c r="O461" s="9">
        <f t="shared" si="31"/>
        <v>42026.25</v>
      </c>
      <c r="P461" t="b">
        <v>0</v>
      </c>
      <c r="Q461" t="b">
        <v>0</v>
      </c>
      <c r="R461" t="s">
        <v>42</v>
      </c>
      <c r="S461" s="5" t="str" cm="1">
        <f t="array" ref="S461:T461">_xlfn.TEXTSPLIT(R461, "/")</f>
        <v>film &amp; video</v>
      </c>
      <c r="T461" s="5" t="str">
        <v>documentary</v>
      </c>
    </row>
    <row r="462" spans="1:20" ht="19.5" x14ac:dyDescent="0.4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 s="4">
        <f t="shared" si="28"/>
        <v>171.625</v>
      </c>
      <c r="K462">
        <v>1281330000</v>
      </c>
      <c r="L462" s="5">
        <f t="shared" si="29"/>
        <v>82.38</v>
      </c>
      <c r="M462">
        <v>1281589200</v>
      </c>
      <c r="N462" s="9">
        <f t="shared" si="30"/>
        <v>40399.208333333336</v>
      </c>
      <c r="O462" s="9">
        <f t="shared" si="31"/>
        <v>40402.208333333336</v>
      </c>
      <c r="P462" t="b">
        <v>0</v>
      </c>
      <c r="Q462" t="b">
        <v>0</v>
      </c>
      <c r="R462" t="s">
        <v>33</v>
      </c>
      <c r="S462" s="5" t="str" cm="1">
        <f t="array" ref="S462:T462">_xlfn.TEXTSPLIT(R462, "/")</f>
        <v>theater</v>
      </c>
      <c r="T462" s="5" t="str">
        <v>plays</v>
      </c>
    </row>
    <row r="463" spans="1:20" ht="19.5" x14ac:dyDescent="0.4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 s="4">
        <f t="shared" si="28"/>
        <v>141.04655870445345</v>
      </c>
      <c r="K463">
        <v>1398661200</v>
      </c>
      <c r="L463" s="5">
        <f t="shared" si="29"/>
        <v>66.997115384615384</v>
      </c>
      <c r="M463">
        <v>1400389200</v>
      </c>
      <c r="N463" s="9">
        <f t="shared" si="30"/>
        <v>41757.208333333336</v>
      </c>
      <c r="O463" s="9">
        <f t="shared" si="31"/>
        <v>41777.208333333336</v>
      </c>
      <c r="P463" t="b">
        <v>0</v>
      </c>
      <c r="Q463" t="b">
        <v>0</v>
      </c>
      <c r="R463" t="s">
        <v>53</v>
      </c>
      <c r="S463" s="5" t="str" cm="1">
        <f t="array" ref="S463:T463">_xlfn.TEXTSPLIT(R463, "/")</f>
        <v>film &amp; video</v>
      </c>
      <c r="T463" s="5" t="str">
        <v>drama</v>
      </c>
    </row>
    <row r="464" spans="1:20" ht="19.5" x14ac:dyDescent="0.4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 s="4">
        <f t="shared" si="28"/>
        <v>30.57944915254237</v>
      </c>
      <c r="K464">
        <v>1359525600</v>
      </c>
      <c r="L464" s="5">
        <f t="shared" si="29"/>
        <v>107.91401869158878</v>
      </c>
      <c r="M464">
        <v>1362808800</v>
      </c>
      <c r="N464" s="9">
        <f t="shared" si="30"/>
        <v>41304.25</v>
      </c>
      <c r="O464" s="9">
        <f t="shared" si="31"/>
        <v>41342.25</v>
      </c>
      <c r="P464" t="b">
        <v>0</v>
      </c>
      <c r="Q464" t="b">
        <v>0</v>
      </c>
      <c r="R464" t="s">
        <v>292</v>
      </c>
      <c r="S464" s="5" t="str" cm="1">
        <f t="array" ref="S464:T464">_xlfn.TEXTSPLIT(R464, "/")</f>
        <v>games</v>
      </c>
      <c r="T464" s="5" t="str">
        <v>mobile games</v>
      </c>
    </row>
    <row r="465" spans="1:20" ht="33.75" x14ac:dyDescent="0.4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 s="4">
        <f t="shared" si="28"/>
        <v>108.16455696202532</v>
      </c>
      <c r="K465">
        <v>1388469600</v>
      </c>
      <c r="L465" s="5">
        <f t="shared" si="29"/>
        <v>69.009501187648453</v>
      </c>
      <c r="M465">
        <v>1388815200</v>
      </c>
      <c r="N465" s="9">
        <f t="shared" si="30"/>
        <v>41639.25</v>
      </c>
      <c r="O465" s="9">
        <f t="shared" si="31"/>
        <v>41643.25</v>
      </c>
      <c r="P465" t="b">
        <v>0</v>
      </c>
      <c r="Q465" t="b">
        <v>0</v>
      </c>
      <c r="R465" t="s">
        <v>71</v>
      </c>
      <c r="S465" s="5" t="str" cm="1">
        <f t="array" ref="S465:T465">_xlfn.TEXTSPLIT(R465, "/")</f>
        <v>film &amp; video</v>
      </c>
      <c r="T465" s="5" t="str">
        <v>animation</v>
      </c>
    </row>
    <row r="466" spans="1:20" ht="19.5" x14ac:dyDescent="0.4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 s="4">
        <f t="shared" si="28"/>
        <v>133.45505617977528</v>
      </c>
      <c r="K466">
        <v>1518328800</v>
      </c>
      <c r="L466" s="5">
        <f t="shared" si="29"/>
        <v>39.006568144499177</v>
      </c>
      <c r="M466">
        <v>1519538400</v>
      </c>
      <c r="N466" s="9">
        <f t="shared" si="30"/>
        <v>43142.25</v>
      </c>
      <c r="O466" s="9">
        <f t="shared" si="31"/>
        <v>43156.25</v>
      </c>
      <c r="P466" t="b">
        <v>0</v>
      </c>
      <c r="Q466" t="b">
        <v>0</v>
      </c>
      <c r="R466" t="s">
        <v>33</v>
      </c>
      <c r="S466" s="5" t="str" cm="1">
        <f t="array" ref="S466:T466">_xlfn.TEXTSPLIT(R466, "/")</f>
        <v>theater</v>
      </c>
      <c r="T466" s="5" t="str">
        <v>plays</v>
      </c>
    </row>
    <row r="467" spans="1:20" ht="19.5" x14ac:dyDescent="0.4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 s="4">
        <f t="shared" si="28"/>
        <v>187.85106382978722</v>
      </c>
      <c r="K467">
        <v>1517032800</v>
      </c>
      <c r="L467" s="5">
        <f t="shared" si="29"/>
        <v>110.3625</v>
      </c>
      <c r="M467">
        <v>1517810400</v>
      </c>
      <c r="N467" s="9">
        <f t="shared" si="30"/>
        <v>43127.25</v>
      </c>
      <c r="O467" s="9">
        <f t="shared" si="31"/>
        <v>43136.25</v>
      </c>
      <c r="P467" t="b">
        <v>0</v>
      </c>
      <c r="Q467" t="b">
        <v>0</v>
      </c>
      <c r="R467" t="s">
        <v>206</v>
      </c>
      <c r="S467" s="5" t="str" cm="1">
        <f t="array" ref="S467:T467">_xlfn.TEXTSPLIT(R467, "/")</f>
        <v>publishing</v>
      </c>
      <c r="T467" s="5" t="str">
        <v>translations</v>
      </c>
    </row>
    <row r="468" spans="1:20" ht="19.5" x14ac:dyDescent="0.4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 s="4">
        <f t="shared" si="28"/>
        <v>332</v>
      </c>
      <c r="K468">
        <v>1368594000</v>
      </c>
      <c r="L468" s="5">
        <f t="shared" si="29"/>
        <v>94.857142857142861</v>
      </c>
      <c r="M468">
        <v>1370581200</v>
      </c>
      <c r="N468" s="9">
        <f t="shared" si="30"/>
        <v>41409.208333333336</v>
      </c>
      <c r="O468" s="9">
        <f t="shared" si="31"/>
        <v>41432.208333333336</v>
      </c>
      <c r="P468" t="b">
        <v>0</v>
      </c>
      <c r="Q468" t="b">
        <v>1</v>
      </c>
      <c r="R468" t="s">
        <v>65</v>
      </c>
      <c r="S468" s="5" t="str" cm="1">
        <f t="array" ref="S468:T468">_xlfn.TEXTSPLIT(R468, "/")</f>
        <v>technology</v>
      </c>
      <c r="T468" s="5" t="str">
        <v>wearables</v>
      </c>
    </row>
    <row r="469" spans="1:20" ht="33.75" x14ac:dyDescent="0.4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 s="4">
        <f t="shared" si="28"/>
        <v>575.21428571428578</v>
      </c>
      <c r="K469">
        <v>1448258400</v>
      </c>
      <c r="L469" s="5">
        <f t="shared" si="29"/>
        <v>57.935251798561154</v>
      </c>
      <c r="M469">
        <v>1448863200</v>
      </c>
      <c r="N469" s="9">
        <f t="shared" si="30"/>
        <v>42331.25</v>
      </c>
      <c r="O469" s="9">
        <f t="shared" si="31"/>
        <v>42338.25</v>
      </c>
      <c r="P469" t="b">
        <v>0</v>
      </c>
      <c r="Q469" t="b">
        <v>1</v>
      </c>
      <c r="R469" t="s">
        <v>28</v>
      </c>
      <c r="S469" s="5" t="str" cm="1">
        <f t="array" ref="S469:T469">_xlfn.TEXTSPLIT(R469, "/")</f>
        <v>technology</v>
      </c>
      <c r="T469" s="5" t="str">
        <v>web</v>
      </c>
    </row>
    <row r="470" spans="1:20" ht="19.5" x14ac:dyDescent="0.4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 s="4">
        <f t="shared" si="28"/>
        <v>40.5</v>
      </c>
      <c r="K470">
        <v>1555218000</v>
      </c>
      <c r="L470" s="5">
        <f t="shared" si="29"/>
        <v>101.25</v>
      </c>
      <c r="M470">
        <v>1556600400</v>
      </c>
      <c r="N470" s="9">
        <f t="shared" si="30"/>
        <v>43569.208333333328</v>
      </c>
      <c r="O470" s="9">
        <f t="shared" si="31"/>
        <v>43585.208333333328</v>
      </c>
      <c r="P470" t="b">
        <v>0</v>
      </c>
      <c r="Q470" t="b">
        <v>0</v>
      </c>
      <c r="R470" t="s">
        <v>33</v>
      </c>
      <c r="S470" s="5" t="str" cm="1">
        <f t="array" ref="S470:T470">_xlfn.TEXTSPLIT(R470, "/")</f>
        <v>theater</v>
      </c>
      <c r="T470" s="5" t="str">
        <v>plays</v>
      </c>
    </row>
    <row r="471" spans="1:20" ht="19.5" x14ac:dyDescent="0.4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 s="4">
        <f t="shared" si="28"/>
        <v>184.42857142857144</v>
      </c>
      <c r="K471">
        <v>1431925200</v>
      </c>
      <c r="L471" s="5">
        <f t="shared" si="29"/>
        <v>64.95597484276729</v>
      </c>
      <c r="M471">
        <v>1432098000</v>
      </c>
      <c r="N471" s="9">
        <f t="shared" si="30"/>
        <v>42142.208333333328</v>
      </c>
      <c r="O471" s="9">
        <f t="shared" si="31"/>
        <v>42144.208333333328</v>
      </c>
      <c r="P471" t="b">
        <v>0</v>
      </c>
      <c r="Q471" t="b">
        <v>0</v>
      </c>
      <c r="R471" t="s">
        <v>53</v>
      </c>
      <c r="S471" s="5" t="str" cm="1">
        <f t="array" ref="S471:T471">_xlfn.TEXTSPLIT(R471, "/")</f>
        <v>film &amp; video</v>
      </c>
      <c r="T471" s="5" t="str">
        <v>drama</v>
      </c>
    </row>
    <row r="472" spans="1:20" ht="19.5" x14ac:dyDescent="0.4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 s="4">
        <f t="shared" si="28"/>
        <v>285.80555555555554</v>
      </c>
      <c r="K472">
        <v>1481522400</v>
      </c>
      <c r="L472" s="5">
        <f t="shared" si="29"/>
        <v>27.00524934383202</v>
      </c>
      <c r="M472">
        <v>1482127200</v>
      </c>
      <c r="N472" s="9">
        <f t="shared" si="30"/>
        <v>42716.25</v>
      </c>
      <c r="O472" s="9">
        <f t="shared" si="31"/>
        <v>42723.25</v>
      </c>
      <c r="P472" t="b">
        <v>0</v>
      </c>
      <c r="Q472" t="b">
        <v>0</v>
      </c>
      <c r="R472" t="s">
        <v>65</v>
      </c>
      <c r="S472" s="5" t="str" cm="1">
        <f t="array" ref="S472:T472">_xlfn.TEXTSPLIT(R472, "/")</f>
        <v>technology</v>
      </c>
      <c r="T472" s="5" t="str">
        <v>wearables</v>
      </c>
    </row>
    <row r="473" spans="1:20" ht="19.5" x14ac:dyDescent="0.4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 s="4">
        <f t="shared" si="28"/>
        <v>319</v>
      </c>
      <c r="K473">
        <v>1335934800</v>
      </c>
      <c r="L473" s="5">
        <f t="shared" si="29"/>
        <v>50.97422680412371</v>
      </c>
      <c r="M473">
        <v>1335934800</v>
      </c>
      <c r="N473" s="9">
        <f t="shared" si="30"/>
        <v>41031.208333333336</v>
      </c>
      <c r="O473" s="9">
        <f t="shared" si="31"/>
        <v>41031.208333333336</v>
      </c>
      <c r="P473" t="b">
        <v>0</v>
      </c>
      <c r="Q473" t="b">
        <v>1</v>
      </c>
      <c r="R473" t="s">
        <v>17</v>
      </c>
      <c r="S473" s="5" t="str" cm="1">
        <f t="array" ref="S473:T473">_xlfn.TEXTSPLIT(R473, "/")</f>
        <v>food</v>
      </c>
      <c r="T473" s="5" t="str">
        <v>food trucks</v>
      </c>
    </row>
    <row r="474" spans="1:20" ht="19.5" x14ac:dyDescent="0.4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 s="4">
        <f t="shared" si="28"/>
        <v>39.234070221066318</v>
      </c>
      <c r="K474">
        <v>1552280400</v>
      </c>
      <c r="L474" s="5">
        <f t="shared" si="29"/>
        <v>104.94260869565217</v>
      </c>
      <c r="M474">
        <v>1556946000</v>
      </c>
      <c r="N474" s="9">
        <f t="shared" si="30"/>
        <v>43535.208333333328</v>
      </c>
      <c r="O474" s="9">
        <f t="shared" si="31"/>
        <v>43589.208333333328</v>
      </c>
      <c r="P474" t="b">
        <v>0</v>
      </c>
      <c r="Q474" t="b">
        <v>0</v>
      </c>
      <c r="R474" t="s">
        <v>23</v>
      </c>
      <c r="S474" s="5" t="str" cm="1">
        <f t="array" ref="S474:T474">_xlfn.TEXTSPLIT(R474, "/")</f>
        <v>music</v>
      </c>
      <c r="T474" s="5" t="str">
        <v>rock</v>
      </c>
    </row>
    <row r="475" spans="1:20" ht="19.5" x14ac:dyDescent="0.4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 s="4">
        <f t="shared" si="28"/>
        <v>178.14000000000001</v>
      </c>
      <c r="K475">
        <v>1529989200</v>
      </c>
      <c r="L475" s="5">
        <f t="shared" si="29"/>
        <v>84.028301886792448</v>
      </c>
      <c r="M475">
        <v>1530075600</v>
      </c>
      <c r="N475" s="9">
        <f t="shared" si="30"/>
        <v>43277.208333333328</v>
      </c>
      <c r="O475" s="9">
        <f t="shared" si="31"/>
        <v>43278.208333333328</v>
      </c>
      <c r="P475" t="b">
        <v>0</v>
      </c>
      <c r="Q475" t="b">
        <v>0</v>
      </c>
      <c r="R475" t="s">
        <v>50</v>
      </c>
      <c r="S475" s="5" t="str" cm="1">
        <f t="array" ref="S475:T475">_xlfn.TEXTSPLIT(R475, "/")</f>
        <v>music</v>
      </c>
      <c r="T475" s="5" t="str">
        <v>electric music</v>
      </c>
    </row>
    <row r="476" spans="1:20" ht="19.5" x14ac:dyDescent="0.4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 s="4">
        <f t="shared" si="28"/>
        <v>365.15</v>
      </c>
      <c r="K476">
        <v>1418709600</v>
      </c>
      <c r="L476" s="5">
        <f t="shared" si="29"/>
        <v>102.85915492957747</v>
      </c>
      <c r="M476">
        <v>1418796000</v>
      </c>
      <c r="N476" s="9">
        <f t="shared" si="30"/>
        <v>41989.25</v>
      </c>
      <c r="O476" s="9">
        <f t="shared" si="31"/>
        <v>41990.25</v>
      </c>
      <c r="P476" t="b">
        <v>0</v>
      </c>
      <c r="Q476" t="b">
        <v>0</v>
      </c>
      <c r="R476" t="s">
        <v>269</v>
      </c>
      <c r="S476" s="5" t="str" cm="1">
        <f t="array" ref="S476:T476">_xlfn.TEXTSPLIT(R476, "/")</f>
        <v>film &amp; video</v>
      </c>
      <c r="T476" s="5" t="str">
        <v>television</v>
      </c>
    </row>
    <row r="477" spans="1:20" ht="33.75" x14ac:dyDescent="0.4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 s="4">
        <f t="shared" si="28"/>
        <v>113.94594594594594</v>
      </c>
      <c r="K477">
        <v>1372136400</v>
      </c>
      <c r="L477" s="5">
        <f t="shared" si="29"/>
        <v>39.962085308056871</v>
      </c>
      <c r="M477">
        <v>1372482000</v>
      </c>
      <c r="N477" s="9">
        <f t="shared" si="30"/>
        <v>41450.208333333336</v>
      </c>
      <c r="O477" s="9">
        <f t="shared" si="31"/>
        <v>41454.208333333336</v>
      </c>
      <c r="P477" t="b">
        <v>0</v>
      </c>
      <c r="Q477" t="b">
        <v>1</v>
      </c>
      <c r="R477" t="s">
        <v>206</v>
      </c>
      <c r="S477" s="5" t="str" cm="1">
        <f t="array" ref="S477:T477">_xlfn.TEXTSPLIT(R477, "/")</f>
        <v>publishing</v>
      </c>
      <c r="T477" s="5" t="str">
        <v>translations</v>
      </c>
    </row>
    <row r="478" spans="1:20" ht="33.75" x14ac:dyDescent="0.4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 s="4">
        <f t="shared" si="28"/>
        <v>29.828720626631856</v>
      </c>
      <c r="K478">
        <v>1533877200</v>
      </c>
      <c r="L478" s="5">
        <f t="shared" si="29"/>
        <v>51.001785714285717</v>
      </c>
      <c r="M478">
        <v>1534395600</v>
      </c>
      <c r="N478" s="9">
        <f t="shared" si="30"/>
        <v>43322.208333333328</v>
      </c>
      <c r="O478" s="9">
        <f t="shared" si="31"/>
        <v>43328.208333333328</v>
      </c>
      <c r="P478" t="b">
        <v>0</v>
      </c>
      <c r="Q478" t="b">
        <v>0</v>
      </c>
      <c r="R478" t="s">
        <v>119</v>
      </c>
      <c r="S478" s="5" t="str" cm="1">
        <f t="array" ref="S478:T478">_xlfn.TEXTSPLIT(R478, "/")</f>
        <v>publishing</v>
      </c>
      <c r="T478" s="5" t="str">
        <v>fiction</v>
      </c>
    </row>
    <row r="479" spans="1:20" ht="19.5" x14ac:dyDescent="0.4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 s="4">
        <f t="shared" si="28"/>
        <v>54.270588235294113</v>
      </c>
      <c r="K479">
        <v>1309064400</v>
      </c>
      <c r="L479" s="5">
        <f t="shared" si="29"/>
        <v>40.823008849557525</v>
      </c>
      <c r="M479">
        <v>1311397200</v>
      </c>
      <c r="N479" s="9">
        <f t="shared" si="30"/>
        <v>40720.208333333336</v>
      </c>
      <c r="O479" s="9">
        <f t="shared" si="31"/>
        <v>40747.208333333336</v>
      </c>
      <c r="P479" t="b">
        <v>0</v>
      </c>
      <c r="Q479" t="b">
        <v>0</v>
      </c>
      <c r="R479" t="s">
        <v>474</v>
      </c>
      <c r="S479" s="5" t="str" cm="1">
        <f t="array" ref="S479:T479">_xlfn.TEXTSPLIT(R479, "/")</f>
        <v>film &amp; video</v>
      </c>
      <c r="T479" s="5" t="str">
        <v>science fiction</v>
      </c>
    </row>
    <row r="480" spans="1:20" ht="19.5" x14ac:dyDescent="0.4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 s="4">
        <f t="shared" si="28"/>
        <v>236.34156976744185</v>
      </c>
      <c r="K480">
        <v>1425877200</v>
      </c>
      <c r="L480" s="5">
        <f t="shared" si="29"/>
        <v>58.999637155297535</v>
      </c>
      <c r="M480">
        <v>1426914000</v>
      </c>
      <c r="N480" s="9">
        <f t="shared" si="30"/>
        <v>42072.208333333328</v>
      </c>
      <c r="O480" s="9">
        <f t="shared" si="31"/>
        <v>42084.208333333328</v>
      </c>
      <c r="P480" t="b">
        <v>0</v>
      </c>
      <c r="Q480" t="b">
        <v>0</v>
      </c>
      <c r="R480" t="s">
        <v>65</v>
      </c>
      <c r="S480" s="5" t="str" cm="1">
        <f t="array" ref="S480:T480">_xlfn.TEXTSPLIT(R480, "/")</f>
        <v>technology</v>
      </c>
      <c r="T480" s="5" t="str">
        <v>wearables</v>
      </c>
    </row>
    <row r="481" spans="1:20" ht="19.5" x14ac:dyDescent="0.4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 s="4">
        <f t="shared" si="28"/>
        <v>512.91666666666663</v>
      </c>
      <c r="K481">
        <v>1501304400</v>
      </c>
      <c r="L481" s="5">
        <f t="shared" si="29"/>
        <v>71.156069364161851</v>
      </c>
      <c r="M481">
        <v>1501477200</v>
      </c>
      <c r="N481" s="9">
        <f t="shared" si="30"/>
        <v>42945.208333333328</v>
      </c>
      <c r="O481" s="9">
        <f t="shared" si="31"/>
        <v>42947.208333333328</v>
      </c>
      <c r="P481" t="b">
        <v>0</v>
      </c>
      <c r="Q481" t="b">
        <v>0</v>
      </c>
      <c r="R481" t="s">
        <v>17</v>
      </c>
      <c r="S481" s="5" t="str" cm="1">
        <f t="array" ref="S481:T481">_xlfn.TEXTSPLIT(R481, "/")</f>
        <v>food</v>
      </c>
      <c r="T481" s="5" t="str">
        <v>food trucks</v>
      </c>
    </row>
    <row r="482" spans="1:20" ht="19.5" x14ac:dyDescent="0.4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 s="4">
        <f t="shared" si="28"/>
        <v>100.65116279069768</v>
      </c>
      <c r="K482">
        <v>1268287200</v>
      </c>
      <c r="L482" s="5">
        <f t="shared" si="29"/>
        <v>99.494252873563212</v>
      </c>
      <c r="M482">
        <v>1269061200</v>
      </c>
      <c r="N482" s="9">
        <f t="shared" si="30"/>
        <v>40248.25</v>
      </c>
      <c r="O482" s="9">
        <f t="shared" si="31"/>
        <v>40257.208333333336</v>
      </c>
      <c r="P482" t="b">
        <v>0</v>
      </c>
      <c r="Q482" t="b">
        <v>1</v>
      </c>
      <c r="R482" t="s">
        <v>122</v>
      </c>
      <c r="S482" s="5" t="str" cm="1">
        <f t="array" ref="S482:T482">_xlfn.TEXTSPLIT(R482, "/")</f>
        <v>photography</v>
      </c>
      <c r="T482" s="5" t="str">
        <v>photography books</v>
      </c>
    </row>
    <row r="483" spans="1:20" ht="33.75" x14ac:dyDescent="0.4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 s="4">
        <f t="shared" si="28"/>
        <v>81.348423194303152</v>
      </c>
      <c r="K483">
        <v>1412139600</v>
      </c>
      <c r="L483" s="5">
        <f t="shared" si="29"/>
        <v>103.98634590377114</v>
      </c>
      <c r="M483">
        <v>1415772000</v>
      </c>
      <c r="N483" s="9">
        <f t="shared" si="30"/>
        <v>41913.208333333336</v>
      </c>
      <c r="O483" s="9">
        <f t="shared" si="31"/>
        <v>41955.25</v>
      </c>
      <c r="P483" t="b">
        <v>0</v>
      </c>
      <c r="Q483" t="b">
        <v>1</v>
      </c>
      <c r="R483" t="s">
        <v>33</v>
      </c>
      <c r="S483" s="5" t="str" cm="1">
        <f t="array" ref="S483:T483">_xlfn.TEXTSPLIT(R483, "/")</f>
        <v>theater</v>
      </c>
      <c r="T483" s="5" t="str">
        <v>plays</v>
      </c>
    </row>
    <row r="484" spans="1:20" ht="33.75" x14ac:dyDescent="0.4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 s="4">
        <f t="shared" si="28"/>
        <v>16.404761904761905</v>
      </c>
      <c r="K484">
        <v>1330063200</v>
      </c>
      <c r="L484" s="5">
        <f t="shared" si="29"/>
        <v>76.555555555555557</v>
      </c>
      <c r="M484">
        <v>1331013600</v>
      </c>
      <c r="N484" s="9">
        <f t="shared" si="30"/>
        <v>40963.25</v>
      </c>
      <c r="O484" s="9">
        <f t="shared" si="31"/>
        <v>40974.25</v>
      </c>
      <c r="P484" t="b">
        <v>0</v>
      </c>
      <c r="Q484" t="b">
        <v>1</v>
      </c>
      <c r="R484" t="s">
        <v>119</v>
      </c>
      <c r="S484" s="5" t="str" cm="1">
        <f t="array" ref="S484:T484">_xlfn.TEXTSPLIT(R484, "/")</f>
        <v>publishing</v>
      </c>
      <c r="T484" s="5" t="str">
        <v>fiction</v>
      </c>
    </row>
    <row r="485" spans="1:20" ht="19.5" x14ac:dyDescent="0.4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 s="4">
        <f t="shared" si="28"/>
        <v>52.774617067833695</v>
      </c>
      <c r="K485">
        <v>1576130400</v>
      </c>
      <c r="L485" s="5">
        <f t="shared" si="29"/>
        <v>87.068592057761734</v>
      </c>
      <c r="M485">
        <v>1576735200</v>
      </c>
      <c r="N485" s="9">
        <f t="shared" si="30"/>
        <v>43811.25</v>
      </c>
      <c r="O485" s="9">
        <f t="shared" si="31"/>
        <v>43818.25</v>
      </c>
      <c r="P485" t="b">
        <v>0</v>
      </c>
      <c r="Q485" t="b">
        <v>0</v>
      </c>
      <c r="R485" t="s">
        <v>33</v>
      </c>
      <c r="S485" s="5" t="str" cm="1">
        <f t="array" ref="S485:T485">_xlfn.TEXTSPLIT(R485, "/")</f>
        <v>theater</v>
      </c>
      <c r="T485" s="5" t="str">
        <v>plays</v>
      </c>
    </row>
    <row r="486" spans="1:20" ht="19.5" x14ac:dyDescent="0.4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 s="4">
        <f t="shared" si="28"/>
        <v>260.20608108108109</v>
      </c>
      <c r="K486">
        <v>1407128400</v>
      </c>
      <c r="L486" s="5">
        <f t="shared" si="29"/>
        <v>48.99554707379135</v>
      </c>
      <c r="M486">
        <v>1411362000</v>
      </c>
      <c r="N486" s="9">
        <f t="shared" si="30"/>
        <v>41855.208333333336</v>
      </c>
      <c r="O486" s="9">
        <f t="shared" si="31"/>
        <v>41904.208333333336</v>
      </c>
      <c r="P486" t="b">
        <v>0</v>
      </c>
      <c r="Q486" t="b">
        <v>1</v>
      </c>
      <c r="R486" t="s">
        <v>17</v>
      </c>
      <c r="S486" s="5" t="str" cm="1">
        <f t="array" ref="S486:T486">_xlfn.TEXTSPLIT(R486, "/")</f>
        <v>food</v>
      </c>
      <c r="T486" s="5" t="str">
        <v>food trucks</v>
      </c>
    </row>
    <row r="487" spans="1:20" ht="33.75" x14ac:dyDescent="0.4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 s="4">
        <f t="shared" si="28"/>
        <v>30.73289183222958</v>
      </c>
      <c r="K487">
        <v>1560142800</v>
      </c>
      <c r="L487" s="5">
        <f t="shared" si="29"/>
        <v>42.969135802469133</v>
      </c>
      <c r="M487">
        <v>1563685200</v>
      </c>
      <c r="N487" s="9">
        <f t="shared" si="30"/>
        <v>43626.208333333328</v>
      </c>
      <c r="O487" s="9">
        <f t="shared" si="31"/>
        <v>43667.208333333328</v>
      </c>
      <c r="P487" t="b">
        <v>0</v>
      </c>
      <c r="Q487" t="b">
        <v>0</v>
      </c>
      <c r="R487" t="s">
        <v>33</v>
      </c>
      <c r="S487" s="5" t="str" cm="1">
        <f t="array" ref="S487:T487">_xlfn.TEXTSPLIT(R487, "/")</f>
        <v>theater</v>
      </c>
      <c r="T487" s="5" t="str">
        <v>plays</v>
      </c>
    </row>
    <row r="488" spans="1:20" ht="33.75" x14ac:dyDescent="0.4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 s="4">
        <f t="shared" si="28"/>
        <v>13.5</v>
      </c>
      <c r="K488">
        <v>1520575200</v>
      </c>
      <c r="L488" s="5">
        <f t="shared" si="29"/>
        <v>33.428571428571431</v>
      </c>
      <c r="M488">
        <v>1521867600</v>
      </c>
      <c r="N488" s="9">
        <f t="shared" si="30"/>
        <v>43168.25</v>
      </c>
      <c r="O488" s="9">
        <f t="shared" si="31"/>
        <v>43183.208333333328</v>
      </c>
      <c r="P488" t="b">
        <v>0</v>
      </c>
      <c r="Q488" t="b">
        <v>1</v>
      </c>
      <c r="R488" t="s">
        <v>206</v>
      </c>
      <c r="S488" s="5" t="str" cm="1">
        <f t="array" ref="S488:T488">_xlfn.TEXTSPLIT(R488, "/")</f>
        <v>publishing</v>
      </c>
      <c r="T488" s="5" t="str">
        <v>translations</v>
      </c>
    </row>
    <row r="489" spans="1:20" ht="19.5" x14ac:dyDescent="0.4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 s="4">
        <f t="shared" si="28"/>
        <v>178.62556663644605</v>
      </c>
      <c r="K489">
        <v>1492664400</v>
      </c>
      <c r="L489" s="5">
        <f t="shared" si="29"/>
        <v>83.982949701619773</v>
      </c>
      <c r="M489">
        <v>1495515600</v>
      </c>
      <c r="N489" s="9">
        <f t="shared" si="30"/>
        <v>42845.208333333328</v>
      </c>
      <c r="O489" s="9">
        <f t="shared" si="31"/>
        <v>42878.208333333328</v>
      </c>
      <c r="P489" t="b">
        <v>0</v>
      </c>
      <c r="Q489" t="b">
        <v>0</v>
      </c>
      <c r="R489" t="s">
        <v>33</v>
      </c>
      <c r="S489" s="5" t="str" cm="1">
        <f t="array" ref="S489:T489">_xlfn.TEXTSPLIT(R489, "/")</f>
        <v>theater</v>
      </c>
      <c r="T489" s="5" t="str">
        <v>plays</v>
      </c>
    </row>
    <row r="490" spans="1:20" ht="19.5" x14ac:dyDescent="0.4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 s="4">
        <f t="shared" si="28"/>
        <v>220.0566037735849</v>
      </c>
      <c r="K490">
        <v>1454479200</v>
      </c>
      <c r="L490" s="5">
        <f t="shared" si="29"/>
        <v>101.41739130434783</v>
      </c>
      <c r="M490">
        <v>1455948000</v>
      </c>
      <c r="N490" s="9">
        <f t="shared" si="30"/>
        <v>42403.25</v>
      </c>
      <c r="O490" s="9">
        <f t="shared" si="31"/>
        <v>42420.25</v>
      </c>
      <c r="P490" t="b">
        <v>0</v>
      </c>
      <c r="Q490" t="b">
        <v>0</v>
      </c>
      <c r="R490" t="s">
        <v>33</v>
      </c>
      <c r="S490" s="5" t="str" cm="1">
        <f t="array" ref="S490:T490">_xlfn.TEXTSPLIT(R490, "/")</f>
        <v>theater</v>
      </c>
      <c r="T490" s="5" t="str">
        <v>plays</v>
      </c>
    </row>
    <row r="491" spans="1:20" ht="19.5" x14ac:dyDescent="0.4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 s="4">
        <f t="shared" si="28"/>
        <v>101.5108695652174</v>
      </c>
      <c r="K491">
        <v>1281934800</v>
      </c>
      <c r="L491" s="5">
        <f t="shared" si="29"/>
        <v>109.87058823529412</v>
      </c>
      <c r="M491">
        <v>1282366800</v>
      </c>
      <c r="N491" s="9">
        <f t="shared" si="30"/>
        <v>40406.208333333336</v>
      </c>
      <c r="O491" s="9">
        <f t="shared" si="31"/>
        <v>40411.208333333336</v>
      </c>
      <c r="P491" t="b">
        <v>0</v>
      </c>
      <c r="Q491" t="b">
        <v>0</v>
      </c>
      <c r="R491" t="s">
        <v>65</v>
      </c>
      <c r="S491" s="5" t="str" cm="1">
        <f t="array" ref="S491:T491">_xlfn.TEXTSPLIT(R491, "/")</f>
        <v>technology</v>
      </c>
      <c r="T491" s="5" t="str">
        <v>wearables</v>
      </c>
    </row>
    <row r="492" spans="1:20" ht="19.5" x14ac:dyDescent="0.4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 s="4">
        <f t="shared" si="28"/>
        <v>191.5</v>
      </c>
      <c r="K492">
        <v>1573970400</v>
      </c>
      <c r="L492" s="5">
        <f t="shared" si="29"/>
        <v>31.916666666666668</v>
      </c>
      <c r="M492">
        <v>1574575200</v>
      </c>
      <c r="N492" s="9">
        <f t="shared" si="30"/>
        <v>43786.25</v>
      </c>
      <c r="O492" s="9">
        <f t="shared" si="31"/>
        <v>43793.25</v>
      </c>
      <c r="P492" t="b">
        <v>0</v>
      </c>
      <c r="Q492" t="b">
        <v>0</v>
      </c>
      <c r="R492" t="s">
        <v>1029</v>
      </c>
      <c r="S492" s="5" t="str" cm="1">
        <f t="array" ref="S492:T492">_xlfn.TEXTSPLIT(R492, "/")</f>
        <v>journalism</v>
      </c>
      <c r="T492" s="5" t="str">
        <v>audio</v>
      </c>
    </row>
    <row r="493" spans="1:20" ht="33.75" x14ac:dyDescent="0.4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 s="4">
        <f t="shared" si="28"/>
        <v>305.34683098591546</v>
      </c>
      <c r="K493">
        <v>1372654800</v>
      </c>
      <c r="L493" s="5">
        <f t="shared" si="29"/>
        <v>70.993450675399103</v>
      </c>
      <c r="M493">
        <v>1374901200</v>
      </c>
      <c r="N493" s="9">
        <f t="shared" si="30"/>
        <v>41456.208333333336</v>
      </c>
      <c r="O493" s="9">
        <f t="shared" si="31"/>
        <v>41482.208333333336</v>
      </c>
      <c r="P493" t="b">
        <v>0</v>
      </c>
      <c r="Q493" t="b">
        <v>1</v>
      </c>
      <c r="R493" t="s">
        <v>17</v>
      </c>
      <c r="S493" s="5" t="str" cm="1">
        <f t="array" ref="S493:T493">_xlfn.TEXTSPLIT(R493, "/")</f>
        <v>food</v>
      </c>
      <c r="T493" s="5" t="str">
        <v>food trucks</v>
      </c>
    </row>
    <row r="494" spans="1:20" ht="19.5" x14ac:dyDescent="0.4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 s="4">
        <f t="shared" si="28"/>
        <v>23.995287958115181</v>
      </c>
      <c r="K494">
        <v>1275886800</v>
      </c>
      <c r="L494" s="5">
        <f t="shared" si="29"/>
        <v>77.026890756302521</v>
      </c>
      <c r="M494">
        <v>1278910800</v>
      </c>
      <c r="N494" s="9">
        <f t="shared" si="30"/>
        <v>40336.208333333336</v>
      </c>
      <c r="O494" s="9">
        <f t="shared" si="31"/>
        <v>40371.208333333336</v>
      </c>
      <c r="P494" t="b">
        <v>1</v>
      </c>
      <c r="Q494" t="b">
        <v>1</v>
      </c>
      <c r="R494" t="s">
        <v>100</v>
      </c>
      <c r="S494" s="5" t="str" cm="1">
        <f t="array" ref="S494:T494">_xlfn.TEXTSPLIT(R494, "/")</f>
        <v>film &amp; video</v>
      </c>
      <c r="T494" s="5" t="str">
        <v>shorts</v>
      </c>
    </row>
    <row r="495" spans="1:20" ht="19.5" x14ac:dyDescent="0.4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 s="4">
        <f t="shared" si="28"/>
        <v>723.77777777777771</v>
      </c>
      <c r="K495">
        <v>1561784400</v>
      </c>
      <c r="L495" s="5">
        <f t="shared" si="29"/>
        <v>101.78125</v>
      </c>
      <c r="M495">
        <v>1562907600</v>
      </c>
      <c r="N495" s="9">
        <f t="shared" si="30"/>
        <v>43645.208333333328</v>
      </c>
      <c r="O495" s="9">
        <f t="shared" si="31"/>
        <v>43658.208333333328</v>
      </c>
      <c r="P495" t="b">
        <v>0</v>
      </c>
      <c r="Q495" t="b">
        <v>0</v>
      </c>
      <c r="R495" t="s">
        <v>122</v>
      </c>
      <c r="S495" s="5" t="str" cm="1">
        <f t="array" ref="S495:T495">_xlfn.TEXTSPLIT(R495, "/")</f>
        <v>photography</v>
      </c>
      <c r="T495" s="5" t="str">
        <v>photography books</v>
      </c>
    </row>
    <row r="496" spans="1:20" ht="19.5" x14ac:dyDescent="0.4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 s="4">
        <f t="shared" si="28"/>
        <v>547.36</v>
      </c>
      <c r="K496">
        <v>1332392400</v>
      </c>
      <c r="L496" s="5">
        <f t="shared" si="29"/>
        <v>51.059701492537314</v>
      </c>
      <c r="M496">
        <v>1332478800</v>
      </c>
      <c r="N496" s="9">
        <f t="shared" si="30"/>
        <v>40990.208333333336</v>
      </c>
      <c r="O496" s="9">
        <f t="shared" si="31"/>
        <v>40991.208333333336</v>
      </c>
      <c r="P496" t="b">
        <v>0</v>
      </c>
      <c r="Q496" t="b">
        <v>0</v>
      </c>
      <c r="R496" t="s">
        <v>65</v>
      </c>
      <c r="S496" s="5" t="str" cm="1">
        <f t="array" ref="S496:T496">_xlfn.TEXTSPLIT(R496, "/")</f>
        <v>technology</v>
      </c>
      <c r="T496" s="5" t="str">
        <v>wearables</v>
      </c>
    </row>
    <row r="497" spans="1:20" ht="19.5" x14ac:dyDescent="0.4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 s="4">
        <f t="shared" si="28"/>
        <v>414.49999999999994</v>
      </c>
      <c r="K497">
        <v>1402376400</v>
      </c>
      <c r="L497" s="5">
        <f t="shared" si="29"/>
        <v>68.02051282051282</v>
      </c>
      <c r="M497">
        <v>1402722000</v>
      </c>
      <c r="N497" s="9">
        <f t="shared" si="30"/>
        <v>41800.208333333336</v>
      </c>
      <c r="O497" s="9">
        <f t="shared" si="31"/>
        <v>41804.208333333336</v>
      </c>
      <c r="P497" t="b">
        <v>0</v>
      </c>
      <c r="Q497" t="b">
        <v>0</v>
      </c>
      <c r="R497" t="s">
        <v>33</v>
      </c>
      <c r="S497" s="5" t="str" cm="1">
        <f t="array" ref="S497:T497">_xlfn.TEXTSPLIT(R497, "/")</f>
        <v>theater</v>
      </c>
      <c r="T497" s="5" t="str">
        <v>plays</v>
      </c>
    </row>
    <row r="498" spans="1:20" ht="19.5" x14ac:dyDescent="0.4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 s="4">
        <f t="shared" si="28"/>
        <v>0.90696409140369971</v>
      </c>
      <c r="K498">
        <v>1495342800</v>
      </c>
      <c r="L498" s="5">
        <f t="shared" si="29"/>
        <v>30.87037037037037</v>
      </c>
      <c r="M498">
        <v>1496811600</v>
      </c>
      <c r="N498" s="9">
        <f t="shared" si="30"/>
        <v>42876.208333333328</v>
      </c>
      <c r="O498" s="9">
        <f t="shared" si="31"/>
        <v>42893.208333333328</v>
      </c>
      <c r="P498" t="b">
        <v>0</v>
      </c>
      <c r="Q498" t="b">
        <v>0</v>
      </c>
      <c r="R498" t="s">
        <v>71</v>
      </c>
      <c r="S498" s="5" t="str" cm="1">
        <f t="array" ref="S498:T498">_xlfn.TEXTSPLIT(R498, "/")</f>
        <v>film &amp; video</v>
      </c>
      <c r="T498" s="5" t="str">
        <v>animation</v>
      </c>
    </row>
    <row r="499" spans="1:20" ht="19.5" x14ac:dyDescent="0.4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 s="4">
        <f t="shared" si="28"/>
        <v>34.173469387755098</v>
      </c>
      <c r="K499">
        <v>1482213600</v>
      </c>
      <c r="L499" s="5">
        <f t="shared" si="29"/>
        <v>27.908333333333335</v>
      </c>
      <c r="M499">
        <v>1482213600</v>
      </c>
      <c r="N499" s="9">
        <f t="shared" si="30"/>
        <v>42724.25</v>
      </c>
      <c r="O499" s="9">
        <f t="shared" si="31"/>
        <v>42724.25</v>
      </c>
      <c r="P499" t="b">
        <v>0</v>
      </c>
      <c r="Q499" t="b">
        <v>1</v>
      </c>
      <c r="R499" t="s">
        <v>65</v>
      </c>
      <c r="S499" s="5" t="str" cm="1">
        <f t="array" ref="S499:T499">_xlfn.TEXTSPLIT(R499, "/")</f>
        <v>technology</v>
      </c>
      <c r="T499" s="5" t="str">
        <v>wearables</v>
      </c>
    </row>
    <row r="500" spans="1:20" ht="19.5" x14ac:dyDescent="0.4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 s="4">
        <f t="shared" si="28"/>
        <v>23.948810754912099</v>
      </c>
      <c r="K500">
        <v>1420092000</v>
      </c>
      <c r="L500" s="5">
        <f t="shared" si="29"/>
        <v>79.994818652849744</v>
      </c>
      <c r="M500">
        <v>1420264800</v>
      </c>
      <c r="N500" s="9">
        <f t="shared" si="30"/>
        <v>42005.25</v>
      </c>
      <c r="O500" s="9">
        <f t="shared" si="31"/>
        <v>42007.25</v>
      </c>
      <c r="P500" t="b">
        <v>0</v>
      </c>
      <c r="Q500" t="b">
        <v>0</v>
      </c>
      <c r="R500" t="s">
        <v>28</v>
      </c>
      <c r="S500" s="5" t="str" cm="1">
        <f t="array" ref="S500:T500">_xlfn.TEXTSPLIT(R500, "/")</f>
        <v>technology</v>
      </c>
      <c r="T500" s="5" t="str">
        <v>web</v>
      </c>
    </row>
    <row r="501" spans="1:20" ht="33.75" x14ac:dyDescent="0.4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 s="4">
        <f t="shared" si="28"/>
        <v>48.072649572649574</v>
      </c>
      <c r="K501">
        <v>1458018000</v>
      </c>
      <c r="L501" s="5">
        <f t="shared" si="29"/>
        <v>38.003378378378379</v>
      </c>
      <c r="M501">
        <v>1458450000</v>
      </c>
      <c r="N501" s="9">
        <f t="shared" si="30"/>
        <v>42444.208333333328</v>
      </c>
      <c r="O501" s="9">
        <f t="shared" si="31"/>
        <v>42449.208333333328</v>
      </c>
      <c r="P501" t="b">
        <v>0</v>
      </c>
      <c r="Q501" t="b">
        <v>1</v>
      </c>
      <c r="R501" t="s">
        <v>42</v>
      </c>
      <c r="S501" s="5" t="str" cm="1">
        <f t="array" ref="S501:T501">_xlfn.TEXTSPLIT(R501, "/")</f>
        <v>film &amp; video</v>
      </c>
      <c r="T501" s="5" t="str">
        <v>documentary</v>
      </c>
    </row>
    <row r="502" spans="1:20" ht="19.5" x14ac:dyDescent="0.4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 s="4">
        <f t="shared" si="28"/>
        <v>0</v>
      </c>
      <c r="K502">
        <v>1367384400</v>
      </c>
      <c r="L502" s="5">
        <v>0</v>
      </c>
      <c r="M502">
        <v>1369803600</v>
      </c>
      <c r="N502" s="9">
        <f t="shared" si="30"/>
        <v>41395.208333333336</v>
      </c>
      <c r="O502" s="9">
        <f t="shared" si="31"/>
        <v>41423.208333333336</v>
      </c>
      <c r="P502" t="b">
        <v>0</v>
      </c>
      <c r="Q502" t="b">
        <v>1</v>
      </c>
      <c r="R502" t="s">
        <v>33</v>
      </c>
      <c r="S502" s="5" t="str" cm="1">
        <f t="array" ref="S502:T502">_xlfn.TEXTSPLIT(R502, "/")</f>
        <v>theater</v>
      </c>
      <c r="T502" s="5" t="str">
        <v>plays</v>
      </c>
    </row>
    <row r="503" spans="1:20" ht="19.5" x14ac:dyDescent="0.4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 s="4">
        <f t="shared" si="28"/>
        <v>70.145182291666657</v>
      </c>
      <c r="K503">
        <v>1363064400</v>
      </c>
      <c r="L503" s="5">
        <f t="shared" si="29"/>
        <v>59.990534521158132</v>
      </c>
      <c r="M503">
        <v>1363237200</v>
      </c>
      <c r="N503" s="9">
        <f t="shared" si="30"/>
        <v>41345.208333333336</v>
      </c>
      <c r="O503" s="9">
        <f t="shared" si="31"/>
        <v>41347.208333333336</v>
      </c>
      <c r="P503" t="b">
        <v>0</v>
      </c>
      <c r="Q503" t="b">
        <v>0</v>
      </c>
      <c r="R503" t="s">
        <v>42</v>
      </c>
      <c r="S503" s="5" t="str" cm="1">
        <f t="array" ref="S503:T503">_xlfn.TEXTSPLIT(R503, "/")</f>
        <v>film &amp; video</v>
      </c>
      <c r="T503" s="5" t="str">
        <v>documentary</v>
      </c>
    </row>
    <row r="504" spans="1:20" ht="19.5" x14ac:dyDescent="0.4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 s="4">
        <f t="shared" si="28"/>
        <v>529.92307692307691</v>
      </c>
      <c r="K504">
        <v>1343365200</v>
      </c>
      <c r="L504" s="5">
        <f t="shared" si="29"/>
        <v>37.037634408602152</v>
      </c>
      <c r="M504">
        <v>1345870800</v>
      </c>
      <c r="N504" s="9">
        <f t="shared" si="30"/>
        <v>41117.208333333336</v>
      </c>
      <c r="O504" s="9">
        <f t="shared" si="31"/>
        <v>41146.208333333336</v>
      </c>
      <c r="P504" t="b">
        <v>0</v>
      </c>
      <c r="Q504" t="b">
        <v>1</v>
      </c>
      <c r="R504" t="s">
        <v>89</v>
      </c>
      <c r="S504" s="5" t="str" cm="1">
        <f t="array" ref="S504:T504">_xlfn.TEXTSPLIT(R504, "/")</f>
        <v>games</v>
      </c>
      <c r="T504" s="5" t="str">
        <v>video games</v>
      </c>
    </row>
    <row r="505" spans="1:20" ht="33.75" x14ac:dyDescent="0.4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 s="4">
        <f t="shared" si="28"/>
        <v>180.32549019607845</v>
      </c>
      <c r="K505">
        <v>1435726800</v>
      </c>
      <c r="L505" s="5">
        <f t="shared" si="29"/>
        <v>99.963043478260872</v>
      </c>
      <c r="M505">
        <v>1437454800</v>
      </c>
      <c r="N505" s="9">
        <f t="shared" si="30"/>
        <v>42186.208333333328</v>
      </c>
      <c r="O505" s="9">
        <f t="shared" si="31"/>
        <v>42206.208333333328</v>
      </c>
      <c r="P505" t="b">
        <v>0</v>
      </c>
      <c r="Q505" t="b">
        <v>0</v>
      </c>
      <c r="R505" t="s">
        <v>53</v>
      </c>
      <c r="S505" s="5" t="str" cm="1">
        <f t="array" ref="S505:T505">_xlfn.TEXTSPLIT(R505, "/")</f>
        <v>film &amp; video</v>
      </c>
      <c r="T505" s="5" t="str">
        <v>drama</v>
      </c>
    </row>
    <row r="506" spans="1:20" ht="19.5" x14ac:dyDescent="0.4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 s="4">
        <f t="shared" si="28"/>
        <v>92.320000000000007</v>
      </c>
      <c r="K506">
        <v>1431925200</v>
      </c>
      <c r="L506" s="5">
        <f t="shared" si="29"/>
        <v>111.6774193548387</v>
      </c>
      <c r="M506">
        <v>1432011600</v>
      </c>
      <c r="N506" s="9">
        <f t="shared" si="30"/>
        <v>42142.208333333328</v>
      </c>
      <c r="O506" s="9">
        <f t="shared" si="31"/>
        <v>42143.208333333328</v>
      </c>
      <c r="P506" t="b">
        <v>0</v>
      </c>
      <c r="Q506" t="b">
        <v>0</v>
      </c>
      <c r="R506" t="s">
        <v>23</v>
      </c>
      <c r="S506" s="5" t="str" cm="1">
        <f t="array" ref="S506:T506">_xlfn.TEXTSPLIT(R506, "/")</f>
        <v>music</v>
      </c>
      <c r="T506" s="5" t="str">
        <v>rock</v>
      </c>
    </row>
    <row r="507" spans="1:20" ht="19.5" x14ac:dyDescent="0.4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 s="4">
        <f t="shared" si="28"/>
        <v>13.901001112347053</v>
      </c>
      <c r="K507">
        <v>1362722400</v>
      </c>
      <c r="L507" s="5">
        <f t="shared" si="29"/>
        <v>36.014409221902014</v>
      </c>
      <c r="M507">
        <v>1366347600</v>
      </c>
      <c r="N507" s="9">
        <f t="shared" si="30"/>
        <v>41341.25</v>
      </c>
      <c r="O507" s="9">
        <f t="shared" si="31"/>
        <v>41383.208333333336</v>
      </c>
      <c r="P507" t="b">
        <v>0</v>
      </c>
      <c r="Q507" t="b">
        <v>1</v>
      </c>
      <c r="R507" t="s">
        <v>133</v>
      </c>
      <c r="S507" s="5" t="str" cm="1">
        <f t="array" ref="S507:T507">_xlfn.TEXTSPLIT(R507, "/")</f>
        <v>publishing</v>
      </c>
      <c r="T507" s="5" t="str">
        <v>radio &amp; podcasts</v>
      </c>
    </row>
    <row r="508" spans="1:20" ht="19.5" x14ac:dyDescent="0.4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 s="4">
        <f t="shared" si="28"/>
        <v>927.07777777777767</v>
      </c>
      <c r="K508">
        <v>1511416800</v>
      </c>
      <c r="L508" s="5">
        <f t="shared" si="29"/>
        <v>66.010284810126578</v>
      </c>
      <c r="M508">
        <v>1512885600</v>
      </c>
      <c r="N508" s="9">
        <f t="shared" si="30"/>
        <v>43062.25</v>
      </c>
      <c r="O508" s="9">
        <f t="shared" si="31"/>
        <v>43079.25</v>
      </c>
      <c r="P508" t="b">
        <v>0</v>
      </c>
      <c r="Q508" t="b">
        <v>1</v>
      </c>
      <c r="R508" t="s">
        <v>33</v>
      </c>
      <c r="S508" s="5" t="str" cm="1">
        <f t="array" ref="S508:T508">_xlfn.TEXTSPLIT(R508, "/")</f>
        <v>theater</v>
      </c>
      <c r="T508" s="5" t="str">
        <v>plays</v>
      </c>
    </row>
    <row r="509" spans="1:20" ht="33.75" x14ac:dyDescent="0.4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 s="4">
        <f t="shared" si="28"/>
        <v>39.857142857142861</v>
      </c>
      <c r="K509">
        <v>1365483600</v>
      </c>
      <c r="L509" s="5">
        <f t="shared" si="29"/>
        <v>44.05263157894737</v>
      </c>
      <c r="M509">
        <v>1369717200</v>
      </c>
      <c r="N509" s="9">
        <f t="shared" si="30"/>
        <v>41373.208333333336</v>
      </c>
      <c r="O509" s="9">
        <f t="shared" si="31"/>
        <v>41422.208333333336</v>
      </c>
      <c r="P509" t="b">
        <v>0</v>
      </c>
      <c r="Q509" t="b">
        <v>1</v>
      </c>
      <c r="R509" t="s">
        <v>28</v>
      </c>
      <c r="S509" s="5" t="str" cm="1">
        <f t="array" ref="S509:T509">_xlfn.TEXTSPLIT(R509, "/")</f>
        <v>technology</v>
      </c>
      <c r="T509" s="5" t="str">
        <v>web</v>
      </c>
    </row>
    <row r="510" spans="1:20" ht="19.5" x14ac:dyDescent="0.4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 s="4">
        <f t="shared" si="28"/>
        <v>112.22929936305732</v>
      </c>
      <c r="K510">
        <v>1532840400</v>
      </c>
      <c r="L510" s="5">
        <f t="shared" si="29"/>
        <v>52.999726551818434</v>
      </c>
      <c r="M510">
        <v>1534654800</v>
      </c>
      <c r="N510" s="9">
        <f t="shared" si="30"/>
        <v>43310.208333333328</v>
      </c>
      <c r="O510" s="9">
        <f t="shared" si="31"/>
        <v>43331.208333333328</v>
      </c>
      <c r="P510" t="b">
        <v>0</v>
      </c>
      <c r="Q510" t="b">
        <v>0</v>
      </c>
      <c r="R510" t="s">
        <v>33</v>
      </c>
      <c r="S510" s="5" t="str" cm="1">
        <f t="array" ref="S510:T510">_xlfn.TEXTSPLIT(R510, "/")</f>
        <v>theater</v>
      </c>
      <c r="T510" s="5" t="str">
        <v>plays</v>
      </c>
    </row>
    <row r="511" spans="1:20" ht="19.5" x14ac:dyDescent="0.4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 s="4">
        <f t="shared" si="28"/>
        <v>70.925816023738875</v>
      </c>
      <c r="K511">
        <v>1336194000</v>
      </c>
      <c r="L511" s="5">
        <f t="shared" si="29"/>
        <v>95</v>
      </c>
      <c r="M511">
        <v>1337058000</v>
      </c>
      <c r="N511" s="9">
        <f t="shared" si="30"/>
        <v>41034.208333333336</v>
      </c>
      <c r="O511" s="9">
        <f t="shared" si="31"/>
        <v>41044.208333333336</v>
      </c>
      <c r="P511" t="b">
        <v>0</v>
      </c>
      <c r="Q511" t="b">
        <v>0</v>
      </c>
      <c r="R511" t="s">
        <v>33</v>
      </c>
      <c r="S511" s="5" t="str" cm="1">
        <f t="array" ref="S511:T511">_xlfn.TEXTSPLIT(R511, "/")</f>
        <v>theater</v>
      </c>
      <c r="T511" s="5" t="str">
        <v>plays</v>
      </c>
    </row>
    <row r="512" spans="1:20" ht="19.5" x14ac:dyDescent="0.4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 s="4">
        <f t="shared" si="28"/>
        <v>119.08974358974358</v>
      </c>
      <c r="K512">
        <v>1527742800</v>
      </c>
      <c r="L512" s="5">
        <f t="shared" si="29"/>
        <v>70.908396946564892</v>
      </c>
      <c r="M512">
        <v>1529816400</v>
      </c>
      <c r="N512" s="9">
        <f t="shared" si="30"/>
        <v>43251.208333333328</v>
      </c>
      <c r="O512" s="9">
        <f t="shared" si="31"/>
        <v>43275.208333333328</v>
      </c>
      <c r="P512" t="b">
        <v>0</v>
      </c>
      <c r="Q512" t="b">
        <v>0</v>
      </c>
      <c r="R512" t="s">
        <v>53</v>
      </c>
      <c r="S512" s="5" t="str" cm="1">
        <f t="array" ref="S512:T512">_xlfn.TEXTSPLIT(R512, "/")</f>
        <v>film &amp; video</v>
      </c>
      <c r="T512" s="5" t="str">
        <v>drama</v>
      </c>
    </row>
    <row r="513" spans="1:20" ht="19.5" x14ac:dyDescent="0.4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 s="4">
        <f t="shared" si="28"/>
        <v>24.017591339648174</v>
      </c>
      <c r="K513">
        <v>1564030800</v>
      </c>
      <c r="L513" s="5">
        <f t="shared" si="29"/>
        <v>98.060773480662988</v>
      </c>
      <c r="M513">
        <v>1564894800</v>
      </c>
      <c r="N513" s="9">
        <f t="shared" si="30"/>
        <v>43671.208333333328</v>
      </c>
      <c r="O513" s="9">
        <f t="shared" si="31"/>
        <v>43681.208333333328</v>
      </c>
      <c r="P513" t="b">
        <v>0</v>
      </c>
      <c r="Q513" t="b">
        <v>0</v>
      </c>
      <c r="R513" t="s">
        <v>33</v>
      </c>
      <c r="S513" s="5" t="str" cm="1">
        <f t="array" ref="S513:T513">_xlfn.TEXTSPLIT(R513, "/")</f>
        <v>theater</v>
      </c>
      <c r="T513" s="5" t="str">
        <v>plays</v>
      </c>
    </row>
    <row r="514" spans="1:20" ht="19.5" x14ac:dyDescent="0.4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 s="4">
        <f t="shared" si="28"/>
        <v>139.31868131868131</v>
      </c>
      <c r="K514">
        <v>1404536400</v>
      </c>
      <c r="L514" s="5">
        <f t="shared" si="29"/>
        <v>53.046025104602514</v>
      </c>
      <c r="M514">
        <v>1404622800</v>
      </c>
      <c r="N514" s="9">
        <f t="shared" si="30"/>
        <v>41825.208333333336</v>
      </c>
      <c r="O514" s="9">
        <f t="shared" si="31"/>
        <v>41826.208333333336</v>
      </c>
      <c r="P514" t="b">
        <v>0</v>
      </c>
      <c r="Q514" t="b">
        <v>1</v>
      </c>
      <c r="R514" t="s">
        <v>89</v>
      </c>
      <c r="S514" s="5" t="str" cm="1">
        <f t="array" ref="S514:T514">_xlfn.TEXTSPLIT(R514, "/")</f>
        <v>games</v>
      </c>
      <c r="T514" s="5" t="str">
        <v>video games</v>
      </c>
    </row>
    <row r="515" spans="1:20" ht="19.5" x14ac:dyDescent="0.4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 s="4">
        <f t="shared" ref="J515:J578" si="32">(E515/D515*100)</f>
        <v>39.277108433734945</v>
      </c>
      <c r="K515">
        <v>1284008400</v>
      </c>
      <c r="L515" s="5">
        <f t="shared" ref="L515:L578" si="33">E515/G515</f>
        <v>93.142857142857139</v>
      </c>
      <c r="M515">
        <v>1284181200</v>
      </c>
      <c r="N515" s="9">
        <f t="shared" ref="N515:N578" si="34">(((K515/60)/60)/24)+DATE(1970,1,1)</f>
        <v>40430.208333333336</v>
      </c>
      <c r="O515" s="9">
        <f t="shared" ref="O515:O578" si="35">(((M515/60)/60)/24)+DATE(1970,1,1)</f>
        <v>40432.208333333336</v>
      </c>
      <c r="P515" t="b">
        <v>0</v>
      </c>
      <c r="Q515" t="b">
        <v>0</v>
      </c>
      <c r="R515" t="s">
        <v>269</v>
      </c>
      <c r="S515" s="5" t="str" cm="1">
        <f t="array" ref="S515:T515">_xlfn.TEXTSPLIT(R515, "/")</f>
        <v>film &amp; video</v>
      </c>
      <c r="T515" s="5" t="str">
        <v>television</v>
      </c>
    </row>
    <row r="516" spans="1:20" ht="19.5" x14ac:dyDescent="0.4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 s="4">
        <f t="shared" si="32"/>
        <v>22.439077144917089</v>
      </c>
      <c r="K516">
        <v>1386309600</v>
      </c>
      <c r="L516" s="5">
        <f t="shared" si="33"/>
        <v>58.945075757575758</v>
      </c>
      <c r="M516">
        <v>1386741600</v>
      </c>
      <c r="N516" s="9">
        <f t="shared" si="34"/>
        <v>41614.25</v>
      </c>
      <c r="O516" s="9">
        <f t="shared" si="35"/>
        <v>41619.25</v>
      </c>
      <c r="P516" t="b">
        <v>0</v>
      </c>
      <c r="Q516" t="b">
        <v>1</v>
      </c>
      <c r="R516" t="s">
        <v>23</v>
      </c>
      <c r="S516" s="5" t="str" cm="1">
        <f t="array" ref="S516:T516">_xlfn.TEXTSPLIT(R516, "/")</f>
        <v>music</v>
      </c>
      <c r="T516" s="5" t="str">
        <v>rock</v>
      </c>
    </row>
    <row r="517" spans="1:20" ht="19.5" x14ac:dyDescent="0.4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 s="4">
        <f t="shared" si="32"/>
        <v>55.779069767441861</v>
      </c>
      <c r="K517">
        <v>1324620000</v>
      </c>
      <c r="L517" s="5">
        <f t="shared" si="33"/>
        <v>36.067669172932334</v>
      </c>
      <c r="M517">
        <v>1324792800</v>
      </c>
      <c r="N517" s="9">
        <f t="shared" si="34"/>
        <v>40900.25</v>
      </c>
      <c r="O517" s="9">
        <f t="shared" si="35"/>
        <v>40902.25</v>
      </c>
      <c r="P517" t="b">
        <v>0</v>
      </c>
      <c r="Q517" t="b">
        <v>1</v>
      </c>
      <c r="R517" t="s">
        <v>33</v>
      </c>
      <c r="S517" s="5" t="str" cm="1">
        <f t="array" ref="S517:T517">_xlfn.TEXTSPLIT(R517, "/")</f>
        <v>theater</v>
      </c>
      <c r="T517" s="5" t="str">
        <v>plays</v>
      </c>
    </row>
    <row r="518" spans="1:20" ht="19.5" x14ac:dyDescent="0.4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 s="4">
        <f t="shared" si="32"/>
        <v>42.523125996810208</v>
      </c>
      <c r="K518">
        <v>1281070800</v>
      </c>
      <c r="L518" s="5">
        <f t="shared" si="33"/>
        <v>63.030732860520096</v>
      </c>
      <c r="M518">
        <v>1284354000</v>
      </c>
      <c r="N518" s="9">
        <f t="shared" si="34"/>
        <v>40396.208333333336</v>
      </c>
      <c r="O518" s="9">
        <f t="shared" si="35"/>
        <v>40434.208333333336</v>
      </c>
      <c r="P518" t="b">
        <v>0</v>
      </c>
      <c r="Q518" t="b">
        <v>0</v>
      </c>
      <c r="R518" t="s">
        <v>68</v>
      </c>
      <c r="S518" s="5" t="str" cm="1">
        <f t="array" ref="S518:T518">_xlfn.TEXTSPLIT(R518, "/")</f>
        <v>publishing</v>
      </c>
      <c r="T518" s="5" t="str">
        <v>nonfiction</v>
      </c>
    </row>
    <row r="519" spans="1:20" ht="19.5" x14ac:dyDescent="0.4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 s="4">
        <f t="shared" si="32"/>
        <v>112.00000000000001</v>
      </c>
      <c r="K519">
        <v>1493960400</v>
      </c>
      <c r="L519" s="5">
        <f t="shared" si="33"/>
        <v>84.717948717948715</v>
      </c>
      <c r="M519">
        <v>1494392400</v>
      </c>
      <c r="N519" s="9">
        <f t="shared" si="34"/>
        <v>42860.208333333328</v>
      </c>
      <c r="O519" s="9">
        <f t="shared" si="35"/>
        <v>42865.208333333328</v>
      </c>
      <c r="P519" t="b">
        <v>0</v>
      </c>
      <c r="Q519" t="b">
        <v>0</v>
      </c>
      <c r="R519" t="s">
        <v>17</v>
      </c>
      <c r="S519" s="5" t="str" cm="1">
        <f t="array" ref="S519:T519">_xlfn.TEXTSPLIT(R519, "/")</f>
        <v>food</v>
      </c>
      <c r="T519" s="5" t="str">
        <v>food trucks</v>
      </c>
    </row>
    <row r="520" spans="1:20" ht="33.75" x14ac:dyDescent="0.4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 s="4">
        <f t="shared" si="32"/>
        <v>7.0681818181818183</v>
      </c>
      <c r="K520">
        <v>1519365600</v>
      </c>
      <c r="L520" s="5">
        <f t="shared" si="33"/>
        <v>62.2</v>
      </c>
      <c r="M520">
        <v>1519538400</v>
      </c>
      <c r="N520" s="9">
        <f t="shared" si="34"/>
        <v>43154.25</v>
      </c>
      <c r="O520" s="9">
        <f t="shared" si="35"/>
        <v>43156.25</v>
      </c>
      <c r="P520" t="b">
        <v>0</v>
      </c>
      <c r="Q520" t="b">
        <v>1</v>
      </c>
      <c r="R520" t="s">
        <v>71</v>
      </c>
      <c r="S520" s="5" t="str" cm="1">
        <f t="array" ref="S520:T520">_xlfn.TEXTSPLIT(R520, "/")</f>
        <v>film &amp; video</v>
      </c>
      <c r="T520" s="5" t="str">
        <v>animation</v>
      </c>
    </row>
    <row r="521" spans="1:20" ht="19.5" x14ac:dyDescent="0.4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 s="4">
        <f t="shared" si="32"/>
        <v>101.74563871693867</v>
      </c>
      <c r="K521">
        <v>1420696800</v>
      </c>
      <c r="L521" s="5">
        <f t="shared" si="33"/>
        <v>101.97518330513255</v>
      </c>
      <c r="M521">
        <v>1421906400</v>
      </c>
      <c r="N521" s="9">
        <f t="shared" si="34"/>
        <v>42012.25</v>
      </c>
      <c r="O521" s="9">
        <f t="shared" si="35"/>
        <v>42026.25</v>
      </c>
      <c r="P521" t="b">
        <v>0</v>
      </c>
      <c r="Q521" t="b">
        <v>1</v>
      </c>
      <c r="R521" t="s">
        <v>23</v>
      </c>
      <c r="S521" s="5" t="str" cm="1">
        <f t="array" ref="S521:T521">_xlfn.TEXTSPLIT(R521, "/")</f>
        <v>music</v>
      </c>
      <c r="T521" s="5" t="str">
        <v>rock</v>
      </c>
    </row>
    <row r="522" spans="1:20" ht="19.5" x14ac:dyDescent="0.4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 s="4">
        <f t="shared" si="32"/>
        <v>425.75</v>
      </c>
      <c r="K522">
        <v>1555650000</v>
      </c>
      <c r="L522" s="5">
        <f t="shared" si="33"/>
        <v>106.4375</v>
      </c>
      <c r="M522">
        <v>1555909200</v>
      </c>
      <c r="N522" s="9">
        <f t="shared" si="34"/>
        <v>43574.208333333328</v>
      </c>
      <c r="O522" s="9">
        <f t="shared" si="35"/>
        <v>43577.208333333328</v>
      </c>
      <c r="P522" t="b">
        <v>0</v>
      </c>
      <c r="Q522" t="b">
        <v>0</v>
      </c>
      <c r="R522" t="s">
        <v>33</v>
      </c>
      <c r="S522" s="5" t="str" cm="1">
        <f t="array" ref="S522:T522">_xlfn.TEXTSPLIT(R522, "/")</f>
        <v>theater</v>
      </c>
      <c r="T522" s="5" t="str">
        <v>plays</v>
      </c>
    </row>
    <row r="523" spans="1:20" ht="19.5" x14ac:dyDescent="0.4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 s="4">
        <f t="shared" si="32"/>
        <v>145.53947368421052</v>
      </c>
      <c r="K523">
        <v>1471928400</v>
      </c>
      <c r="L523" s="5">
        <f t="shared" si="33"/>
        <v>29.975609756097562</v>
      </c>
      <c r="M523">
        <v>1472446800</v>
      </c>
      <c r="N523" s="9">
        <f t="shared" si="34"/>
        <v>42605.208333333328</v>
      </c>
      <c r="O523" s="9">
        <f t="shared" si="35"/>
        <v>42611.208333333328</v>
      </c>
      <c r="P523" t="b">
        <v>0</v>
      </c>
      <c r="Q523" t="b">
        <v>1</v>
      </c>
      <c r="R523" t="s">
        <v>53</v>
      </c>
      <c r="S523" s="5" t="str" cm="1">
        <f t="array" ref="S523:T523">_xlfn.TEXTSPLIT(R523, "/")</f>
        <v>film &amp; video</v>
      </c>
      <c r="T523" s="5" t="str">
        <v>drama</v>
      </c>
    </row>
    <row r="524" spans="1:20" ht="33.75" x14ac:dyDescent="0.4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 s="4">
        <f t="shared" si="32"/>
        <v>32.453465346534657</v>
      </c>
      <c r="K524">
        <v>1341291600</v>
      </c>
      <c r="L524" s="5">
        <f t="shared" si="33"/>
        <v>85.806282722513089</v>
      </c>
      <c r="M524">
        <v>1342328400</v>
      </c>
      <c r="N524" s="9">
        <f t="shared" si="34"/>
        <v>41093.208333333336</v>
      </c>
      <c r="O524" s="9">
        <f t="shared" si="35"/>
        <v>41105.208333333336</v>
      </c>
      <c r="P524" t="b">
        <v>0</v>
      </c>
      <c r="Q524" t="b">
        <v>0</v>
      </c>
      <c r="R524" t="s">
        <v>100</v>
      </c>
      <c r="S524" s="5" t="str" cm="1">
        <f t="array" ref="S524:T524">_xlfn.TEXTSPLIT(R524, "/")</f>
        <v>film &amp; video</v>
      </c>
      <c r="T524" s="5" t="str">
        <v>shorts</v>
      </c>
    </row>
    <row r="525" spans="1:20" ht="19.5" x14ac:dyDescent="0.4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 s="4">
        <f t="shared" si="32"/>
        <v>700.33333333333326</v>
      </c>
      <c r="K525">
        <v>1267682400</v>
      </c>
      <c r="L525" s="5">
        <f t="shared" si="33"/>
        <v>70.82022471910112</v>
      </c>
      <c r="M525">
        <v>1268114400</v>
      </c>
      <c r="N525" s="9">
        <f t="shared" si="34"/>
        <v>40241.25</v>
      </c>
      <c r="O525" s="9">
        <f t="shared" si="35"/>
        <v>40246.25</v>
      </c>
      <c r="P525" t="b">
        <v>0</v>
      </c>
      <c r="Q525" t="b">
        <v>0</v>
      </c>
      <c r="R525" t="s">
        <v>100</v>
      </c>
      <c r="S525" s="5" t="str" cm="1">
        <f t="array" ref="S525:T525">_xlfn.TEXTSPLIT(R525, "/")</f>
        <v>film &amp; video</v>
      </c>
      <c r="T525" s="5" t="str">
        <v>shorts</v>
      </c>
    </row>
    <row r="526" spans="1:20" ht="19.5" x14ac:dyDescent="0.4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 s="4">
        <f t="shared" si="32"/>
        <v>83.904860392967933</v>
      </c>
      <c r="K526">
        <v>1272258000</v>
      </c>
      <c r="L526" s="5">
        <f t="shared" si="33"/>
        <v>40.998484082870135</v>
      </c>
      <c r="M526">
        <v>1273381200</v>
      </c>
      <c r="N526" s="9">
        <f t="shared" si="34"/>
        <v>40294.208333333336</v>
      </c>
      <c r="O526" s="9">
        <f t="shared" si="35"/>
        <v>40307.208333333336</v>
      </c>
      <c r="P526" t="b">
        <v>0</v>
      </c>
      <c r="Q526" t="b">
        <v>0</v>
      </c>
      <c r="R526" t="s">
        <v>33</v>
      </c>
      <c r="S526" s="5" t="str" cm="1">
        <f t="array" ref="S526:T526">_xlfn.TEXTSPLIT(R526, "/")</f>
        <v>theater</v>
      </c>
      <c r="T526" s="5" t="str">
        <v>plays</v>
      </c>
    </row>
    <row r="527" spans="1:20" ht="19.5" x14ac:dyDescent="0.4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 s="4">
        <f t="shared" si="32"/>
        <v>84.19047619047619</v>
      </c>
      <c r="K527">
        <v>1290492000</v>
      </c>
      <c r="L527" s="5">
        <f t="shared" si="33"/>
        <v>28.063492063492063</v>
      </c>
      <c r="M527">
        <v>1290837600</v>
      </c>
      <c r="N527" s="9">
        <f t="shared" si="34"/>
        <v>40505.25</v>
      </c>
      <c r="O527" s="9">
        <f t="shared" si="35"/>
        <v>40509.25</v>
      </c>
      <c r="P527" t="b">
        <v>0</v>
      </c>
      <c r="Q527" t="b">
        <v>0</v>
      </c>
      <c r="R527" t="s">
        <v>65</v>
      </c>
      <c r="S527" s="5" t="str" cm="1">
        <f t="array" ref="S527:T527">_xlfn.TEXTSPLIT(R527, "/")</f>
        <v>technology</v>
      </c>
      <c r="T527" s="5" t="str">
        <v>wearables</v>
      </c>
    </row>
    <row r="528" spans="1:20" ht="33.75" x14ac:dyDescent="0.4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 s="4">
        <f t="shared" si="32"/>
        <v>155.95180722891567</v>
      </c>
      <c r="K528">
        <v>1451109600</v>
      </c>
      <c r="L528" s="5">
        <f t="shared" si="33"/>
        <v>88.054421768707485</v>
      </c>
      <c r="M528">
        <v>1454306400</v>
      </c>
      <c r="N528" s="9">
        <f t="shared" si="34"/>
        <v>42364.25</v>
      </c>
      <c r="O528" s="9">
        <f t="shared" si="35"/>
        <v>42401.25</v>
      </c>
      <c r="P528" t="b">
        <v>0</v>
      </c>
      <c r="Q528" t="b">
        <v>1</v>
      </c>
      <c r="R528" t="s">
        <v>33</v>
      </c>
      <c r="S528" s="5" t="str" cm="1">
        <f t="array" ref="S528:T528">_xlfn.TEXTSPLIT(R528, "/")</f>
        <v>theater</v>
      </c>
      <c r="T528" s="5" t="str">
        <v>plays</v>
      </c>
    </row>
    <row r="529" spans="1:20" ht="19.5" x14ac:dyDescent="0.4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 s="4">
        <f t="shared" si="32"/>
        <v>99.619450317124731</v>
      </c>
      <c r="K529">
        <v>1454652000</v>
      </c>
      <c r="L529" s="5">
        <f t="shared" si="33"/>
        <v>31</v>
      </c>
      <c r="M529">
        <v>1457762400</v>
      </c>
      <c r="N529" s="9">
        <f t="shared" si="34"/>
        <v>42405.25</v>
      </c>
      <c r="O529" s="9">
        <f t="shared" si="35"/>
        <v>42441.25</v>
      </c>
      <c r="P529" t="b">
        <v>0</v>
      </c>
      <c r="Q529" t="b">
        <v>0</v>
      </c>
      <c r="R529" t="s">
        <v>71</v>
      </c>
      <c r="S529" s="5" t="str" cm="1">
        <f t="array" ref="S529:T529">_xlfn.TEXTSPLIT(R529, "/")</f>
        <v>film &amp; video</v>
      </c>
      <c r="T529" s="5" t="str">
        <v>animation</v>
      </c>
    </row>
    <row r="530" spans="1:20" ht="19.5" x14ac:dyDescent="0.4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 s="4">
        <f t="shared" si="32"/>
        <v>80.300000000000011</v>
      </c>
      <c r="K530">
        <v>1385186400</v>
      </c>
      <c r="L530" s="5">
        <f t="shared" si="33"/>
        <v>90.337500000000006</v>
      </c>
      <c r="M530">
        <v>1389074400</v>
      </c>
      <c r="N530" s="9">
        <f t="shared" si="34"/>
        <v>41601.25</v>
      </c>
      <c r="O530" s="9">
        <f t="shared" si="35"/>
        <v>41646.25</v>
      </c>
      <c r="P530" t="b">
        <v>0</v>
      </c>
      <c r="Q530" t="b">
        <v>0</v>
      </c>
      <c r="R530" t="s">
        <v>60</v>
      </c>
      <c r="S530" s="5" t="str" cm="1">
        <f t="array" ref="S530:T530">_xlfn.TEXTSPLIT(R530, "/")</f>
        <v>music</v>
      </c>
      <c r="T530" s="5" t="str">
        <v>indie rock</v>
      </c>
    </row>
    <row r="531" spans="1:20" ht="19.5" x14ac:dyDescent="0.4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 s="4">
        <f t="shared" si="32"/>
        <v>11.254901960784313</v>
      </c>
      <c r="K531">
        <v>1399698000</v>
      </c>
      <c r="L531" s="5">
        <f t="shared" si="33"/>
        <v>63.777777777777779</v>
      </c>
      <c r="M531">
        <v>1402117200</v>
      </c>
      <c r="N531" s="9">
        <f t="shared" si="34"/>
        <v>41769.208333333336</v>
      </c>
      <c r="O531" s="9">
        <f t="shared" si="35"/>
        <v>41797.208333333336</v>
      </c>
      <c r="P531" t="b">
        <v>0</v>
      </c>
      <c r="Q531" t="b">
        <v>0</v>
      </c>
      <c r="R531" t="s">
        <v>89</v>
      </c>
      <c r="S531" s="5" t="str" cm="1">
        <f t="array" ref="S531:T531">_xlfn.TEXTSPLIT(R531, "/")</f>
        <v>games</v>
      </c>
      <c r="T531" s="5" t="str">
        <v>video games</v>
      </c>
    </row>
    <row r="532" spans="1:20" ht="19.5" x14ac:dyDescent="0.4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 s="4">
        <f t="shared" si="32"/>
        <v>91.740952380952379</v>
      </c>
      <c r="K532">
        <v>1283230800</v>
      </c>
      <c r="L532" s="5">
        <f t="shared" si="33"/>
        <v>53.995515695067262</v>
      </c>
      <c r="M532">
        <v>1284440400</v>
      </c>
      <c r="N532" s="9">
        <f t="shared" si="34"/>
        <v>40421.208333333336</v>
      </c>
      <c r="O532" s="9">
        <f t="shared" si="35"/>
        <v>40435.208333333336</v>
      </c>
      <c r="P532" t="b">
        <v>0</v>
      </c>
      <c r="Q532" t="b">
        <v>1</v>
      </c>
      <c r="R532" t="s">
        <v>119</v>
      </c>
      <c r="S532" s="5" t="str" cm="1">
        <f t="array" ref="S532:T532">_xlfn.TEXTSPLIT(R532, "/")</f>
        <v>publishing</v>
      </c>
      <c r="T532" s="5" t="str">
        <v>fiction</v>
      </c>
    </row>
    <row r="533" spans="1:20" ht="33.75" x14ac:dyDescent="0.4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 s="4">
        <f t="shared" si="32"/>
        <v>95.521156936261391</v>
      </c>
      <c r="K533">
        <v>1384149600</v>
      </c>
      <c r="L533" s="5">
        <f t="shared" si="33"/>
        <v>48.993956043956047</v>
      </c>
      <c r="M533">
        <v>1388988000</v>
      </c>
      <c r="N533" s="9">
        <f t="shared" si="34"/>
        <v>41589.25</v>
      </c>
      <c r="O533" s="9">
        <f t="shared" si="35"/>
        <v>41645.25</v>
      </c>
      <c r="P533" t="b">
        <v>0</v>
      </c>
      <c r="Q533" t="b">
        <v>0</v>
      </c>
      <c r="R533" t="s">
        <v>89</v>
      </c>
      <c r="S533" s="5" t="str" cm="1">
        <f t="array" ref="S533:T533">_xlfn.TEXTSPLIT(R533, "/")</f>
        <v>games</v>
      </c>
      <c r="T533" s="5" t="str">
        <v>video games</v>
      </c>
    </row>
    <row r="534" spans="1:20" ht="19.5" x14ac:dyDescent="0.4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 s="4">
        <f t="shared" si="32"/>
        <v>502.87499999999994</v>
      </c>
      <c r="K534">
        <v>1516860000</v>
      </c>
      <c r="L534" s="5">
        <f t="shared" si="33"/>
        <v>63.857142857142854</v>
      </c>
      <c r="M534">
        <v>1516946400</v>
      </c>
      <c r="N534" s="9">
        <f t="shared" si="34"/>
        <v>43125.25</v>
      </c>
      <c r="O534" s="9">
        <f t="shared" si="35"/>
        <v>43126.25</v>
      </c>
      <c r="P534" t="b">
        <v>0</v>
      </c>
      <c r="Q534" t="b">
        <v>0</v>
      </c>
      <c r="R534" t="s">
        <v>33</v>
      </c>
      <c r="S534" s="5" t="str" cm="1">
        <f t="array" ref="S534:T534">_xlfn.TEXTSPLIT(R534, "/")</f>
        <v>theater</v>
      </c>
      <c r="T534" s="5" t="str">
        <v>plays</v>
      </c>
    </row>
    <row r="535" spans="1:20" ht="19.5" x14ac:dyDescent="0.4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 s="4">
        <f t="shared" si="32"/>
        <v>159.24394463667818</v>
      </c>
      <c r="K535">
        <v>1374642000</v>
      </c>
      <c r="L535" s="5">
        <f t="shared" si="33"/>
        <v>82.996393146979258</v>
      </c>
      <c r="M535">
        <v>1377752400</v>
      </c>
      <c r="N535" s="9">
        <f t="shared" si="34"/>
        <v>41479.208333333336</v>
      </c>
      <c r="O535" s="9">
        <f t="shared" si="35"/>
        <v>41515.208333333336</v>
      </c>
      <c r="P535" t="b">
        <v>0</v>
      </c>
      <c r="Q535" t="b">
        <v>0</v>
      </c>
      <c r="R535" t="s">
        <v>60</v>
      </c>
      <c r="S535" s="5" t="str" cm="1">
        <f t="array" ref="S535:T535">_xlfn.TEXTSPLIT(R535, "/")</f>
        <v>music</v>
      </c>
      <c r="T535" s="5" t="str">
        <v>indie rock</v>
      </c>
    </row>
    <row r="536" spans="1:20" ht="19.5" x14ac:dyDescent="0.4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 s="4">
        <f t="shared" si="32"/>
        <v>15.022446689113355</v>
      </c>
      <c r="K536">
        <v>1534482000</v>
      </c>
      <c r="L536" s="5">
        <f t="shared" si="33"/>
        <v>55.08230452674897</v>
      </c>
      <c r="M536">
        <v>1534568400</v>
      </c>
      <c r="N536" s="9">
        <f t="shared" si="34"/>
        <v>43329.208333333328</v>
      </c>
      <c r="O536" s="9">
        <f t="shared" si="35"/>
        <v>43330.208333333328</v>
      </c>
      <c r="P536" t="b">
        <v>0</v>
      </c>
      <c r="Q536" t="b">
        <v>1</v>
      </c>
      <c r="R536" t="s">
        <v>53</v>
      </c>
      <c r="S536" s="5" t="str" cm="1">
        <f t="array" ref="S536:T536">_xlfn.TEXTSPLIT(R536, "/")</f>
        <v>film &amp; video</v>
      </c>
      <c r="T536" s="5" t="str">
        <v>drama</v>
      </c>
    </row>
    <row r="537" spans="1:20" ht="19.5" x14ac:dyDescent="0.4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 s="4">
        <f t="shared" si="32"/>
        <v>482.03846153846149</v>
      </c>
      <c r="K537">
        <v>1528434000</v>
      </c>
      <c r="L537" s="5">
        <f t="shared" si="33"/>
        <v>62.044554455445542</v>
      </c>
      <c r="M537">
        <v>1528606800</v>
      </c>
      <c r="N537" s="9">
        <f t="shared" si="34"/>
        <v>43259.208333333328</v>
      </c>
      <c r="O537" s="9">
        <f t="shared" si="35"/>
        <v>43261.208333333328</v>
      </c>
      <c r="P537" t="b">
        <v>0</v>
      </c>
      <c r="Q537" t="b">
        <v>1</v>
      </c>
      <c r="R537" t="s">
        <v>33</v>
      </c>
      <c r="S537" s="5" t="str" cm="1">
        <f t="array" ref="S537:T537">_xlfn.TEXTSPLIT(R537, "/")</f>
        <v>theater</v>
      </c>
      <c r="T537" s="5" t="str">
        <v>plays</v>
      </c>
    </row>
    <row r="538" spans="1:20" ht="19.5" x14ac:dyDescent="0.4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 s="4">
        <f t="shared" si="32"/>
        <v>149.96938775510205</v>
      </c>
      <c r="K538">
        <v>1282626000</v>
      </c>
      <c r="L538" s="5">
        <f t="shared" si="33"/>
        <v>104.97857142857143</v>
      </c>
      <c r="M538">
        <v>1284872400</v>
      </c>
      <c r="N538" s="9">
        <f t="shared" si="34"/>
        <v>40414.208333333336</v>
      </c>
      <c r="O538" s="9">
        <f t="shared" si="35"/>
        <v>40440.208333333336</v>
      </c>
      <c r="P538" t="b">
        <v>0</v>
      </c>
      <c r="Q538" t="b">
        <v>0</v>
      </c>
      <c r="R538" t="s">
        <v>119</v>
      </c>
      <c r="S538" s="5" t="str" cm="1">
        <f t="array" ref="S538:T538">_xlfn.TEXTSPLIT(R538, "/")</f>
        <v>publishing</v>
      </c>
      <c r="T538" s="5" t="str">
        <v>fiction</v>
      </c>
    </row>
    <row r="539" spans="1:20" ht="19.5" x14ac:dyDescent="0.4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 s="4">
        <f t="shared" si="32"/>
        <v>117.22156398104266</v>
      </c>
      <c r="K539">
        <v>1535605200</v>
      </c>
      <c r="L539" s="5">
        <f t="shared" si="33"/>
        <v>94.044676806083643</v>
      </c>
      <c r="M539">
        <v>1537592400</v>
      </c>
      <c r="N539" s="9">
        <f t="shared" si="34"/>
        <v>43342.208333333328</v>
      </c>
      <c r="O539" s="9">
        <f t="shared" si="35"/>
        <v>43365.208333333328</v>
      </c>
      <c r="P539" t="b">
        <v>1</v>
      </c>
      <c r="Q539" t="b">
        <v>1</v>
      </c>
      <c r="R539" t="s">
        <v>42</v>
      </c>
      <c r="S539" s="5" t="str" cm="1">
        <f t="array" ref="S539:T539">_xlfn.TEXTSPLIT(R539, "/")</f>
        <v>film &amp; video</v>
      </c>
      <c r="T539" s="5" t="str">
        <v>documentary</v>
      </c>
    </row>
    <row r="540" spans="1:20" ht="19.5" x14ac:dyDescent="0.4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 s="4">
        <f t="shared" si="32"/>
        <v>37.695968274950431</v>
      </c>
      <c r="K540">
        <v>1379826000</v>
      </c>
      <c r="L540" s="5">
        <f t="shared" si="33"/>
        <v>44.007716049382715</v>
      </c>
      <c r="M540">
        <v>1381208400</v>
      </c>
      <c r="N540" s="9">
        <f t="shared" si="34"/>
        <v>41539.208333333336</v>
      </c>
      <c r="O540" s="9">
        <f t="shared" si="35"/>
        <v>41555.208333333336</v>
      </c>
      <c r="P540" t="b">
        <v>0</v>
      </c>
      <c r="Q540" t="b">
        <v>0</v>
      </c>
      <c r="R540" t="s">
        <v>292</v>
      </c>
      <c r="S540" s="5" t="str" cm="1">
        <f t="array" ref="S540:T540">_xlfn.TEXTSPLIT(R540, "/")</f>
        <v>games</v>
      </c>
      <c r="T540" s="5" t="str">
        <v>mobile games</v>
      </c>
    </row>
    <row r="541" spans="1:20" ht="19.5" x14ac:dyDescent="0.4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 s="4">
        <f t="shared" si="32"/>
        <v>72.653061224489804</v>
      </c>
      <c r="K541">
        <v>1561957200</v>
      </c>
      <c r="L541" s="5">
        <f t="shared" si="33"/>
        <v>92.467532467532465</v>
      </c>
      <c r="M541">
        <v>1562475600</v>
      </c>
      <c r="N541" s="9">
        <f t="shared" si="34"/>
        <v>43647.208333333328</v>
      </c>
      <c r="O541" s="9">
        <f t="shared" si="35"/>
        <v>43653.208333333328</v>
      </c>
      <c r="P541" t="b">
        <v>0</v>
      </c>
      <c r="Q541" t="b">
        <v>1</v>
      </c>
      <c r="R541" t="s">
        <v>17</v>
      </c>
      <c r="S541" s="5" t="str" cm="1">
        <f t="array" ref="S541:T541">_xlfn.TEXTSPLIT(R541, "/")</f>
        <v>food</v>
      </c>
      <c r="T541" s="5" t="str">
        <v>food trucks</v>
      </c>
    </row>
    <row r="542" spans="1:20" ht="19.5" x14ac:dyDescent="0.4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 s="4">
        <f t="shared" si="32"/>
        <v>265.98113207547169</v>
      </c>
      <c r="K542">
        <v>1525496400</v>
      </c>
      <c r="L542" s="5">
        <f t="shared" si="33"/>
        <v>57.072874493927124</v>
      </c>
      <c r="M542">
        <v>1527397200</v>
      </c>
      <c r="N542" s="9">
        <f t="shared" si="34"/>
        <v>43225.208333333328</v>
      </c>
      <c r="O542" s="9">
        <f t="shared" si="35"/>
        <v>43247.208333333328</v>
      </c>
      <c r="P542" t="b">
        <v>0</v>
      </c>
      <c r="Q542" t="b">
        <v>0</v>
      </c>
      <c r="R542" t="s">
        <v>122</v>
      </c>
      <c r="S542" s="5" t="str" cm="1">
        <f t="array" ref="S542:T542">_xlfn.TEXTSPLIT(R542, "/")</f>
        <v>photography</v>
      </c>
      <c r="T542" s="5" t="str">
        <v>photography books</v>
      </c>
    </row>
    <row r="543" spans="1:20" ht="19.5" x14ac:dyDescent="0.4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 s="4">
        <f t="shared" si="32"/>
        <v>24.205617977528089</v>
      </c>
      <c r="K543">
        <v>1433912400</v>
      </c>
      <c r="L543" s="5">
        <f t="shared" si="33"/>
        <v>109.07848101265823</v>
      </c>
      <c r="M543">
        <v>1436158800</v>
      </c>
      <c r="N543" s="9">
        <f t="shared" si="34"/>
        <v>42165.208333333328</v>
      </c>
      <c r="O543" s="9">
        <f t="shared" si="35"/>
        <v>42191.208333333328</v>
      </c>
      <c r="P543" t="b">
        <v>0</v>
      </c>
      <c r="Q543" t="b">
        <v>0</v>
      </c>
      <c r="R543" t="s">
        <v>292</v>
      </c>
      <c r="S543" s="5" t="str" cm="1">
        <f t="array" ref="S543:T543">_xlfn.TEXTSPLIT(R543, "/")</f>
        <v>games</v>
      </c>
      <c r="T543" s="5" t="str">
        <v>mobile games</v>
      </c>
    </row>
    <row r="544" spans="1:20" ht="19.5" x14ac:dyDescent="0.4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 s="4">
        <f t="shared" si="32"/>
        <v>2.5064935064935066</v>
      </c>
      <c r="K544">
        <v>1453442400</v>
      </c>
      <c r="L544" s="5">
        <f t="shared" si="33"/>
        <v>39.387755102040813</v>
      </c>
      <c r="M544">
        <v>1456034400</v>
      </c>
      <c r="N544" s="9">
        <f t="shared" si="34"/>
        <v>42391.25</v>
      </c>
      <c r="O544" s="9">
        <f t="shared" si="35"/>
        <v>42421.25</v>
      </c>
      <c r="P544" t="b">
        <v>0</v>
      </c>
      <c r="Q544" t="b">
        <v>0</v>
      </c>
      <c r="R544" t="s">
        <v>60</v>
      </c>
      <c r="S544" s="5" t="str" cm="1">
        <f t="array" ref="S544:T544">_xlfn.TEXTSPLIT(R544, "/")</f>
        <v>music</v>
      </c>
      <c r="T544" s="5" t="str">
        <v>indie rock</v>
      </c>
    </row>
    <row r="545" spans="1:20" ht="19.5" x14ac:dyDescent="0.4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 s="4">
        <f t="shared" si="32"/>
        <v>16.329799764428738</v>
      </c>
      <c r="K545">
        <v>1378875600</v>
      </c>
      <c r="L545" s="5">
        <f t="shared" si="33"/>
        <v>77.022222222222226</v>
      </c>
      <c r="M545">
        <v>1380171600</v>
      </c>
      <c r="N545" s="9">
        <f t="shared" si="34"/>
        <v>41528.208333333336</v>
      </c>
      <c r="O545" s="9">
        <f t="shared" si="35"/>
        <v>41543.208333333336</v>
      </c>
      <c r="P545" t="b">
        <v>0</v>
      </c>
      <c r="Q545" t="b">
        <v>0</v>
      </c>
      <c r="R545" t="s">
        <v>89</v>
      </c>
      <c r="S545" s="5" t="str" cm="1">
        <f t="array" ref="S545:T545">_xlfn.TEXTSPLIT(R545, "/")</f>
        <v>games</v>
      </c>
      <c r="T545" s="5" t="str">
        <v>video games</v>
      </c>
    </row>
    <row r="546" spans="1:20" ht="33.75" x14ac:dyDescent="0.4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 s="4">
        <f t="shared" si="32"/>
        <v>276.5</v>
      </c>
      <c r="K546">
        <v>1452232800</v>
      </c>
      <c r="L546" s="5">
        <f t="shared" si="33"/>
        <v>92.166666666666671</v>
      </c>
      <c r="M546">
        <v>1453356000</v>
      </c>
      <c r="N546" s="9">
        <f t="shared" si="34"/>
        <v>42377.25</v>
      </c>
      <c r="O546" s="9">
        <f t="shared" si="35"/>
        <v>42390.25</v>
      </c>
      <c r="P546" t="b">
        <v>0</v>
      </c>
      <c r="Q546" t="b">
        <v>0</v>
      </c>
      <c r="R546" t="s">
        <v>23</v>
      </c>
      <c r="S546" s="5" t="str" cm="1">
        <f t="array" ref="S546:T546">_xlfn.TEXTSPLIT(R546, "/")</f>
        <v>music</v>
      </c>
      <c r="T546" s="5" t="str">
        <v>rock</v>
      </c>
    </row>
    <row r="547" spans="1:20" ht="19.5" x14ac:dyDescent="0.4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 s="4">
        <f t="shared" si="32"/>
        <v>88.803571428571431</v>
      </c>
      <c r="K547">
        <v>1577253600</v>
      </c>
      <c r="L547" s="5">
        <f t="shared" si="33"/>
        <v>61.007063197026021</v>
      </c>
      <c r="M547">
        <v>1578981600</v>
      </c>
      <c r="N547" s="9">
        <f t="shared" si="34"/>
        <v>43824.25</v>
      </c>
      <c r="O547" s="9">
        <f t="shared" si="35"/>
        <v>43844.25</v>
      </c>
      <c r="P547" t="b">
        <v>0</v>
      </c>
      <c r="Q547" t="b">
        <v>0</v>
      </c>
      <c r="R547" t="s">
        <v>33</v>
      </c>
      <c r="S547" s="5" t="str" cm="1">
        <f t="array" ref="S547:T547">_xlfn.TEXTSPLIT(R547, "/")</f>
        <v>theater</v>
      </c>
      <c r="T547" s="5" t="str">
        <v>plays</v>
      </c>
    </row>
    <row r="548" spans="1:20" ht="19.5" x14ac:dyDescent="0.4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 s="4">
        <f t="shared" si="32"/>
        <v>163.57142857142856</v>
      </c>
      <c r="K548">
        <v>1537160400</v>
      </c>
      <c r="L548" s="5">
        <f t="shared" si="33"/>
        <v>78.068181818181813</v>
      </c>
      <c r="M548">
        <v>1537419600</v>
      </c>
      <c r="N548" s="9">
        <f t="shared" si="34"/>
        <v>43360.208333333328</v>
      </c>
      <c r="O548" s="9">
        <f t="shared" si="35"/>
        <v>43363.208333333328</v>
      </c>
      <c r="P548" t="b">
        <v>0</v>
      </c>
      <c r="Q548" t="b">
        <v>1</v>
      </c>
      <c r="R548" t="s">
        <v>33</v>
      </c>
      <c r="S548" s="5" t="str" cm="1">
        <f t="array" ref="S548:T548">_xlfn.TEXTSPLIT(R548, "/")</f>
        <v>theater</v>
      </c>
      <c r="T548" s="5" t="str">
        <v>plays</v>
      </c>
    </row>
    <row r="549" spans="1:20" ht="19.5" x14ac:dyDescent="0.4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 s="4">
        <f t="shared" si="32"/>
        <v>969</v>
      </c>
      <c r="K549">
        <v>1422165600</v>
      </c>
      <c r="L549" s="5">
        <f t="shared" si="33"/>
        <v>80.75</v>
      </c>
      <c r="M549">
        <v>1423202400</v>
      </c>
      <c r="N549" s="9">
        <f t="shared" si="34"/>
        <v>42029.25</v>
      </c>
      <c r="O549" s="9">
        <f t="shared" si="35"/>
        <v>42041.25</v>
      </c>
      <c r="P549" t="b">
        <v>0</v>
      </c>
      <c r="Q549" t="b">
        <v>0</v>
      </c>
      <c r="R549" t="s">
        <v>53</v>
      </c>
      <c r="S549" s="5" t="str" cm="1">
        <f t="array" ref="S549:T549">_xlfn.TEXTSPLIT(R549, "/")</f>
        <v>film &amp; video</v>
      </c>
      <c r="T549" s="5" t="str">
        <v>drama</v>
      </c>
    </row>
    <row r="550" spans="1:20" ht="19.5" x14ac:dyDescent="0.4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 s="4">
        <f t="shared" si="32"/>
        <v>270.91376701966715</v>
      </c>
      <c r="K550">
        <v>1459486800</v>
      </c>
      <c r="L550" s="5">
        <f t="shared" si="33"/>
        <v>59.991289782244557</v>
      </c>
      <c r="M550">
        <v>1460610000</v>
      </c>
      <c r="N550" s="9">
        <f t="shared" si="34"/>
        <v>42461.208333333328</v>
      </c>
      <c r="O550" s="9">
        <f t="shared" si="35"/>
        <v>42474.208333333328</v>
      </c>
      <c r="P550" t="b">
        <v>0</v>
      </c>
      <c r="Q550" t="b">
        <v>0</v>
      </c>
      <c r="R550" t="s">
        <v>33</v>
      </c>
      <c r="S550" s="5" t="str" cm="1">
        <f t="array" ref="S550:T550">_xlfn.TEXTSPLIT(R550, "/")</f>
        <v>theater</v>
      </c>
      <c r="T550" s="5" t="str">
        <v>plays</v>
      </c>
    </row>
    <row r="551" spans="1:20" ht="33.75" x14ac:dyDescent="0.4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 s="4">
        <f t="shared" si="32"/>
        <v>284.21355932203392</v>
      </c>
      <c r="K551">
        <v>1369717200</v>
      </c>
      <c r="L551" s="5">
        <f t="shared" si="33"/>
        <v>110.03018372703411</v>
      </c>
      <c r="M551">
        <v>1370494800</v>
      </c>
      <c r="N551" s="9">
        <f t="shared" si="34"/>
        <v>41422.208333333336</v>
      </c>
      <c r="O551" s="9">
        <f t="shared" si="35"/>
        <v>41431.208333333336</v>
      </c>
      <c r="P551" t="b">
        <v>0</v>
      </c>
      <c r="Q551" t="b">
        <v>0</v>
      </c>
      <c r="R551" t="s">
        <v>65</v>
      </c>
      <c r="S551" s="5" t="str" cm="1">
        <f t="array" ref="S551:T551">_xlfn.TEXTSPLIT(R551, "/")</f>
        <v>technology</v>
      </c>
      <c r="T551" s="5" t="str">
        <v>wearables</v>
      </c>
    </row>
    <row r="552" spans="1:20" ht="33.75" x14ac:dyDescent="0.4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 s="4">
        <f t="shared" si="32"/>
        <v>4</v>
      </c>
      <c r="K552">
        <v>1330495200</v>
      </c>
      <c r="L552" s="5">
        <f t="shared" si="33"/>
        <v>4</v>
      </c>
      <c r="M552">
        <v>1332306000</v>
      </c>
      <c r="N552" s="9">
        <f t="shared" si="34"/>
        <v>40968.25</v>
      </c>
      <c r="O552" s="9">
        <f t="shared" si="35"/>
        <v>40989.208333333336</v>
      </c>
      <c r="P552" t="b">
        <v>0</v>
      </c>
      <c r="Q552" t="b">
        <v>0</v>
      </c>
      <c r="R552" t="s">
        <v>60</v>
      </c>
      <c r="S552" s="5" t="str" cm="1">
        <f t="array" ref="S552:T552">_xlfn.TEXTSPLIT(R552, "/")</f>
        <v>music</v>
      </c>
      <c r="T552" s="5" t="str">
        <v>indie rock</v>
      </c>
    </row>
    <row r="553" spans="1:20" ht="19.5" x14ac:dyDescent="0.4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 s="4">
        <f t="shared" si="32"/>
        <v>58.6329816768462</v>
      </c>
      <c r="K553">
        <v>1419055200</v>
      </c>
      <c r="L553" s="5">
        <f t="shared" si="33"/>
        <v>37.99856063332134</v>
      </c>
      <c r="M553">
        <v>1422511200</v>
      </c>
      <c r="N553" s="9">
        <f t="shared" si="34"/>
        <v>41993.25</v>
      </c>
      <c r="O553" s="9">
        <f t="shared" si="35"/>
        <v>42033.25</v>
      </c>
      <c r="P553" t="b">
        <v>0</v>
      </c>
      <c r="Q553" t="b">
        <v>1</v>
      </c>
      <c r="R553" t="s">
        <v>28</v>
      </c>
      <c r="S553" s="5" t="str" cm="1">
        <f t="array" ref="S553:T553">_xlfn.TEXTSPLIT(R553, "/")</f>
        <v>technology</v>
      </c>
      <c r="T553" s="5" t="str">
        <v>web</v>
      </c>
    </row>
    <row r="554" spans="1:20" ht="19.5" x14ac:dyDescent="0.4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 s="4">
        <f t="shared" si="32"/>
        <v>98.51111111111112</v>
      </c>
      <c r="K554">
        <v>1480140000</v>
      </c>
      <c r="L554" s="5">
        <f t="shared" si="33"/>
        <v>96.369565217391298</v>
      </c>
      <c r="M554">
        <v>1480312800</v>
      </c>
      <c r="N554" s="9">
        <f t="shared" si="34"/>
        <v>42700.25</v>
      </c>
      <c r="O554" s="9">
        <f t="shared" si="35"/>
        <v>42702.25</v>
      </c>
      <c r="P554" t="b">
        <v>0</v>
      </c>
      <c r="Q554" t="b">
        <v>0</v>
      </c>
      <c r="R554" t="s">
        <v>33</v>
      </c>
      <c r="S554" s="5" t="str" cm="1">
        <f t="array" ref="S554:T554">_xlfn.TEXTSPLIT(R554, "/")</f>
        <v>theater</v>
      </c>
      <c r="T554" s="5" t="str">
        <v>plays</v>
      </c>
    </row>
    <row r="555" spans="1:20" ht="33.75" x14ac:dyDescent="0.4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 s="4">
        <f t="shared" si="32"/>
        <v>43.975381008206334</v>
      </c>
      <c r="K555">
        <v>1293948000</v>
      </c>
      <c r="L555" s="5">
        <f t="shared" si="33"/>
        <v>72.978599221789878</v>
      </c>
      <c r="M555">
        <v>1294034400</v>
      </c>
      <c r="N555" s="9">
        <f t="shared" si="34"/>
        <v>40545.25</v>
      </c>
      <c r="O555" s="9">
        <f t="shared" si="35"/>
        <v>40546.25</v>
      </c>
      <c r="P555" t="b">
        <v>0</v>
      </c>
      <c r="Q555" t="b">
        <v>0</v>
      </c>
      <c r="R555" t="s">
        <v>23</v>
      </c>
      <c r="S555" s="5" t="str" cm="1">
        <f t="array" ref="S555:T555">_xlfn.TEXTSPLIT(R555, "/")</f>
        <v>music</v>
      </c>
      <c r="T555" s="5" t="str">
        <v>rock</v>
      </c>
    </row>
    <row r="556" spans="1:20" ht="33.75" x14ac:dyDescent="0.4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 s="4">
        <f t="shared" si="32"/>
        <v>151.66315789473683</v>
      </c>
      <c r="K556">
        <v>1482127200</v>
      </c>
      <c r="L556" s="5">
        <f t="shared" si="33"/>
        <v>26.007220216606498</v>
      </c>
      <c r="M556">
        <v>1482645600</v>
      </c>
      <c r="N556" s="9">
        <f t="shared" si="34"/>
        <v>42723.25</v>
      </c>
      <c r="O556" s="9">
        <f t="shared" si="35"/>
        <v>42729.25</v>
      </c>
      <c r="P556" t="b">
        <v>0</v>
      </c>
      <c r="Q556" t="b">
        <v>0</v>
      </c>
      <c r="R556" t="s">
        <v>60</v>
      </c>
      <c r="S556" s="5" t="str" cm="1">
        <f t="array" ref="S556:T556">_xlfn.TEXTSPLIT(R556, "/")</f>
        <v>music</v>
      </c>
      <c r="T556" s="5" t="str">
        <v>indie rock</v>
      </c>
    </row>
    <row r="557" spans="1:20" ht="19.5" x14ac:dyDescent="0.4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 s="4">
        <f t="shared" si="32"/>
        <v>223.63492063492063</v>
      </c>
      <c r="K557">
        <v>1396414800</v>
      </c>
      <c r="L557" s="5">
        <f t="shared" si="33"/>
        <v>104.36296296296297</v>
      </c>
      <c r="M557">
        <v>1399093200</v>
      </c>
      <c r="N557" s="9">
        <f t="shared" si="34"/>
        <v>41731.208333333336</v>
      </c>
      <c r="O557" s="9">
        <f t="shared" si="35"/>
        <v>41762.208333333336</v>
      </c>
      <c r="P557" t="b">
        <v>0</v>
      </c>
      <c r="Q557" t="b">
        <v>0</v>
      </c>
      <c r="R557" t="s">
        <v>23</v>
      </c>
      <c r="S557" s="5" t="str" cm="1">
        <f t="array" ref="S557:T557">_xlfn.TEXTSPLIT(R557, "/")</f>
        <v>music</v>
      </c>
      <c r="T557" s="5" t="str">
        <v>rock</v>
      </c>
    </row>
    <row r="558" spans="1:20" ht="19.5" x14ac:dyDescent="0.4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 s="4">
        <f t="shared" si="32"/>
        <v>239.75</v>
      </c>
      <c r="K558">
        <v>1315285200</v>
      </c>
      <c r="L558" s="5">
        <f t="shared" si="33"/>
        <v>102.18852459016394</v>
      </c>
      <c r="M558">
        <v>1315890000</v>
      </c>
      <c r="N558" s="9">
        <f t="shared" si="34"/>
        <v>40792.208333333336</v>
      </c>
      <c r="O558" s="9">
        <f t="shared" si="35"/>
        <v>40799.208333333336</v>
      </c>
      <c r="P558" t="b">
        <v>0</v>
      </c>
      <c r="Q558" t="b">
        <v>1</v>
      </c>
      <c r="R558" t="s">
        <v>206</v>
      </c>
      <c r="S558" s="5" t="str" cm="1">
        <f t="array" ref="S558:T558">_xlfn.TEXTSPLIT(R558, "/")</f>
        <v>publishing</v>
      </c>
      <c r="T558" s="5" t="str">
        <v>translations</v>
      </c>
    </row>
    <row r="559" spans="1:20" ht="19.5" x14ac:dyDescent="0.4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 s="4">
        <f t="shared" si="32"/>
        <v>199.33333333333334</v>
      </c>
      <c r="K559">
        <v>1443762000</v>
      </c>
      <c r="L559" s="5">
        <f t="shared" si="33"/>
        <v>54.117647058823529</v>
      </c>
      <c r="M559">
        <v>1444021200</v>
      </c>
      <c r="N559" s="9">
        <f t="shared" si="34"/>
        <v>42279.208333333328</v>
      </c>
      <c r="O559" s="9">
        <f t="shared" si="35"/>
        <v>42282.208333333328</v>
      </c>
      <c r="P559" t="b">
        <v>0</v>
      </c>
      <c r="Q559" t="b">
        <v>1</v>
      </c>
      <c r="R559" t="s">
        <v>474</v>
      </c>
      <c r="S559" s="5" t="str" cm="1">
        <f t="array" ref="S559:T559">_xlfn.TEXTSPLIT(R559, "/")</f>
        <v>film &amp; video</v>
      </c>
      <c r="T559" s="5" t="str">
        <v>science fiction</v>
      </c>
    </row>
    <row r="560" spans="1:20" ht="19.5" x14ac:dyDescent="0.4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 s="4">
        <f t="shared" si="32"/>
        <v>137.34482758620689</v>
      </c>
      <c r="K560">
        <v>1456293600</v>
      </c>
      <c r="L560" s="5">
        <f t="shared" si="33"/>
        <v>63.222222222222221</v>
      </c>
      <c r="M560">
        <v>1460005200</v>
      </c>
      <c r="N560" s="9">
        <f t="shared" si="34"/>
        <v>42424.25</v>
      </c>
      <c r="O560" s="9">
        <f t="shared" si="35"/>
        <v>42467.208333333328</v>
      </c>
      <c r="P560" t="b">
        <v>0</v>
      </c>
      <c r="Q560" t="b">
        <v>0</v>
      </c>
      <c r="R560" t="s">
        <v>33</v>
      </c>
      <c r="S560" s="5" t="str" cm="1">
        <f t="array" ref="S560:T560">_xlfn.TEXTSPLIT(R560, "/")</f>
        <v>theater</v>
      </c>
      <c r="T560" s="5" t="str">
        <v>plays</v>
      </c>
    </row>
    <row r="561" spans="1:20" ht="19.5" x14ac:dyDescent="0.4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 s="4">
        <f t="shared" si="32"/>
        <v>100.9696106362773</v>
      </c>
      <c r="K561">
        <v>1470114000</v>
      </c>
      <c r="L561" s="5">
        <f t="shared" si="33"/>
        <v>104.03228962818004</v>
      </c>
      <c r="M561">
        <v>1470718800</v>
      </c>
      <c r="N561" s="9">
        <f t="shared" si="34"/>
        <v>42584.208333333328</v>
      </c>
      <c r="O561" s="9">
        <f t="shared" si="35"/>
        <v>42591.208333333328</v>
      </c>
      <c r="P561" t="b">
        <v>0</v>
      </c>
      <c r="Q561" t="b">
        <v>0</v>
      </c>
      <c r="R561" t="s">
        <v>33</v>
      </c>
      <c r="S561" s="5" t="str" cm="1">
        <f t="array" ref="S561:T561">_xlfn.TEXTSPLIT(R561, "/")</f>
        <v>theater</v>
      </c>
      <c r="T561" s="5" t="str">
        <v>plays</v>
      </c>
    </row>
    <row r="562" spans="1:20" ht="19.5" x14ac:dyDescent="0.4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 s="4">
        <f t="shared" si="32"/>
        <v>794.16</v>
      </c>
      <c r="K562">
        <v>1321596000</v>
      </c>
      <c r="L562" s="5">
        <f t="shared" si="33"/>
        <v>49.994334277620396</v>
      </c>
      <c r="M562">
        <v>1325052000</v>
      </c>
      <c r="N562" s="9">
        <f t="shared" si="34"/>
        <v>40865.25</v>
      </c>
      <c r="O562" s="9">
        <f t="shared" si="35"/>
        <v>40905.25</v>
      </c>
      <c r="P562" t="b">
        <v>0</v>
      </c>
      <c r="Q562" t="b">
        <v>0</v>
      </c>
      <c r="R562" t="s">
        <v>71</v>
      </c>
      <c r="S562" s="5" t="str" cm="1">
        <f t="array" ref="S562:T562">_xlfn.TEXTSPLIT(R562, "/")</f>
        <v>film &amp; video</v>
      </c>
      <c r="T562" s="5" t="str">
        <v>animation</v>
      </c>
    </row>
    <row r="563" spans="1:20" ht="19.5" x14ac:dyDescent="0.4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 s="4">
        <f t="shared" si="32"/>
        <v>369.7</v>
      </c>
      <c r="K563">
        <v>1318827600</v>
      </c>
      <c r="L563" s="5">
        <f t="shared" si="33"/>
        <v>56.015151515151516</v>
      </c>
      <c r="M563">
        <v>1319000400</v>
      </c>
      <c r="N563" s="9">
        <f t="shared" si="34"/>
        <v>40833.208333333336</v>
      </c>
      <c r="O563" s="9">
        <f t="shared" si="35"/>
        <v>40835.208333333336</v>
      </c>
      <c r="P563" t="b">
        <v>0</v>
      </c>
      <c r="Q563" t="b">
        <v>0</v>
      </c>
      <c r="R563" t="s">
        <v>33</v>
      </c>
      <c r="S563" s="5" t="str" cm="1">
        <f t="array" ref="S563:T563">_xlfn.TEXTSPLIT(R563, "/")</f>
        <v>theater</v>
      </c>
      <c r="T563" s="5" t="str">
        <v>plays</v>
      </c>
    </row>
    <row r="564" spans="1:20" ht="33.75" x14ac:dyDescent="0.4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 s="4">
        <f t="shared" si="32"/>
        <v>12.818181818181817</v>
      </c>
      <c r="K564">
        <v>1552366800</v>
      </c>
      <c r="L564" s="5">
        <f t="shared" si="33"/>
        <v>48.807692307692307</v>
      </c>
      <c r="M564">
        <v>1552539600</v>
      </c>
      <c r="N564" s="9">
        <f t="shared" si="34"/>
        <v>43536.208333333328</v>
      </c>
      <c r="O564" s="9">
        <f t="shared" si="35"/>
        <v>43538.208333333328</v>
      </c>
      <c r="P564" t="b">
        <v>0</v>
      </c>
      <c r="Q564" t="b">
        <v>0</v>
      </c>
      <c r="R564" t="s">
        <v>23</v>
      </c>
      <c r="S564" s="5" t="str" cm="1">
        <f t="array" ref="S564:T564">_xlfn.TEXTSPLIT(R564, "/")</f>
        <v>music</v>
      </c>
      <c r="T564" s="5" t="str">
        <v>rock</v>
      </c>
    </row>
    <row r="565" spans="1:20" ht="19.5" x14ac:dyDescent="0.4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 s="4">
        <f t="shared" si="32"/>
        <v>138.02702702702703</v>
      </c>
      <c r="K565">
        <v>1542088800</v>
      </c>
      <c r="L565" s="5">
        <f t="shared" si="33"/>
        <v>60.082352941176474</v>
      </c>
      <c r="M565">
        <v>1543816800</v>
      </c>
      <c r="N565" s="9">
        <f t="shared" si="34"/>
        <v>43417.25</v>
      </c>
      <c r="O565" s="9">
        <f t="shared" si="35"/>
        <v>43437.25</v>
      </c>
      <c r="P565" t="b">
        <v>0</v>
      </c>
      <c r="Q565" t="b">
        <v>0</v>
      </c>
      <c r="R565" t="s">
        <v>42</v>
      </c>
      <c r="S565" s="5" t="str" cm="1">
        <f t="array" ref="S565:T565">_xlfn.TEXTSPLIT(R565, "/")</f>
        <v>film &amp; video</v>
      </c>
      <c r="T565" s="5" t="str">
        <v>documentary</v>
      </c>
    </row>
    <row r="566" spans="1:20" ht="19.5" x14ac:dyDescent="0.4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 s="4">
        <f t="shared" si="32"/>
        <v>83.813278008298752</v>
      </c>
      <c r="K566">
        <v>1426395600</v>
      </c>
      <c r="L566" s="5">
        <f t="shared" si="33"/>
        <v>78.990502793296088</v>
      </c>
      <c r="M566">
        <v>1427086800</v>
      </c>
      <c r="N566" s="9">
        <f t="shared" si="34"/>
        <v>42078.208333333328</v>
      </c>
      <c r="O566" s="9">
        <f t="shared" si="35"/>
        <v>42086.208333333328</v>
      </c>
      <c r="P566" t="b">
        <v>0</v>
      </c>
      <c r="Q566" t="b">
        <v>0</v>
      </c>
      <c r="R566" t="s">
        <v>33</v>
      </c>
      <c r="S566" s="5" t="str" cm="1">
        <f t="array" ref="S566:T566">_xlfn.TEXTSPLIT(R566, "/")</f>
        <v>theater</v>
      </c>
      <c r="T566" s="5" t="str">
        <v>plays</v>
      </c>
    </row>
    <row r="567" spans="1:20" ht="19.5" x14ac:dyDescent="0.4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 s="4">
        <f t="shared" si="32"/>
        <v>204.60063224446787</v>
      </c>
      <c r="K567">
        <v>1321336800</v>
      </c>
      <c r="L567" s="5">
        <f t="shared" si="33"/>
        <v>53.99499443826474</v>
      </c>
      <c r="M567">
        <v>1323064800</v>
      </c>
      <c r="N567" s="9">
        <f t="shared" si="34"/>
        <v>40862.25</v>
      </c>
      <c r="O567" s="9">
        <f t="shared" si="35"/>
        <v>40882.25</v>
      </c>
      <c r="P567" t="b">
        <v>0</v>
      </c>
      <c r="Q567" t="b">
        <v>0</v>
      </c>
      <c r="R567" t="s">
        <v>33</v>
      </c>
      <c r="S567" s="5" t="str" cm="1">
        <f t="array" ref="S567:T567">_xlfn.TEXTSPLIT(R567, "/")</f>
        <v>theater</v>
      </c>
      <c r="T567" s="5" t="str">
        <v>plays</v>
      </c>
    </row>
    <row r="568" spans="1:20" ht="19.5" x14ac:dyDescent="0.4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 s="4">
        <f t="shared" si="32"/>
        <v>44.344086021505376</v>
      </c>
      <c r="K568">
        <v>1456293600</v>
      </c>
      <c r="L568" s="5">
        <f t="shared" si="33"/>
        <v>111.45945945945945</v>
      </c>
      <c r="M568">
        <v>1458277200</v>
      </c>
      <c r="N568" s="9">
        <f t="shared" si="34"/>
        <v>42424.25</v>
      </c>
      <c r="O568" s="9">
        <f t="shared" si="35"/>
        <v>42447.208333333328</v>
      </c>
      <c r="P568" t="b">
        <v>0</v>
      </c>
      <c r="Q568" t="b">
        <v>1</v>
      </c>
      <c r="R568" t="s">
        <v>50</v>
      </c>
      <c r="S568" s="5" t="str" cm="1">
        <f t="array" ref="S568:T568">_xlfn.TEXTSPLIT(R568, "/")</f>
        <v>music</v>
      </c>
      <c r="T568" s="5" t="str">
        <v>electric music</v>
      </c>
    </row>
    <row r="569" spans="1:20" ht="33.75" x14ac:dyDescent="0.4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 s="4">
        <f t="shared" si="32"/>
        <v>218.60294117647058</v>
      </c>
      <c r="K569">
        <v>1404968400</v>
      </c>
      <c r="L569" s="5">
        <f t="shared" si="33"/>
        <v>60.922131147540981</v>
      </c>
      <c r="M569">
        <v>1405141200</v>
      </c>
      <c r="N569" s="9">
        <f t="shared" si="34"/>
        <v>41830.208333333336</v>
      </c>
      <c r="O569" s="9">
        <f t="shared" si="35"/>
        <v>41832.208333333336</v>
      </c>
      <c r="P569" t="b">
        <v>0</v>
      </c>
      <c r="Q569" t="b">
        <v>0</v>
      </c>
      <c r="R569" t="s">
        <v>23</v>
      </c>
      <c r="S569" s="5" t="str" cm="1">
        <f t="array" ref="S569:T569">_xlfn.TEXTSPLIT(R569, "/")</f>
        <v>music</v>
      </c>
      <c r="T569" s="5" t="str">
        <v>rock</v>
      </c>
    </row>
    <row r="570" spans="1:20" ht="19.5" x14ac:dyDescent="0.4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 s="4">
        <f t="shared" si="32"/>
        <v>186.03314917127071</v>
      </c>
      <c r="K570">
        <v>1279170000</v>
      </c>
      <c r="L570" s="5">
        <f t="shared" si="33"/>
        <v>26.0015444015444</v>
      </c>
      <c r="M570">
        <v>1283058000</v>
      </c>
      <c r="N570" s="9">
        <f t="shared" si="34"/>
        <v>40374.208333333336</v>
      </c>
      <c r="O570" s="9">
        <f t="shared" si="35"/>
        <v>40419.208333333336</v>
      </c>
      <c r="P570" t="b">
        <v>0</v>
      </c>
      <c r="Q570" t="b">
        <v>0</v>
      </c>
      <c r="R570" t="s">
        <v>33</v>
      </c>
      <c r="S570" s="5" t="str" cm="1">
        <f t="array" ref="S570:T570">_xlfn.TEXTSPLIT(R570, "/")</f>
        <v>theater</v>
      </c>
      <c r="T570" s="5" t="str">
        <v>plays</v>
      </c>
    </row>
    <row r="571" spans="1:20" ht="19.5" x14ac:dyDescent="0.4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 s="4">
        <f t="shared" si="32"/>
        <v>237.33830845771143</v>
      </c>
      <c r="K571">
        <v>1294725600</v>
      </c>
      <c r="L571" s="5">
        <f t="shared" si="33"/>
        <v>80.993208828522924</v>
      </c>
      <c r="M571">
        <v>1295762400</v>
      </c>
      <c r="N571" s="9">
        <f t="shared" si="34"/>
        <v>40554.25</v>
      </c>
      <c r="O571" s="9">
        <f t="shared" si="35"/>
        <v>40566.25</v>
      </c>
      <c r="P571" t="b">
        <v>0</v>
      </c>
      <c r="Q571" t="b">
        <v>0</v>
      </c>
      <c r="R571" t="s">
        <v>71</v>
      </c>
      <c r="S571" s="5" t="str" cm="1">
        <f t="array" ref="S571:T571">_xlfn.TEXTSPLIT(R571, "/")</f>
        <v>film &amp; video</v>
      </c>
      <c r="T571" s="5" t="str">
        <v>animation</v>
      </c>
    </row>
    <row r="572" spans="1:20" ht="19.5" x14ac:dyDescent="0.4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 s="4">
        <f t="shared" si="32"/>
        <v>305.65384615384613</v>
      </c>
      <c r="K572">
        <v>1419055200</v>
      </c>
      <c r="L572" s="5">
        <f t="shared" si="33"/>
        <v>34.995963302752294</v>
      </c>
      <c r="M572">
        <v>1419573600</v>
      </c>
      <c r="N572" s="9">
        <f t="shared" si="34"/>
        <v>41993.25</v>
      </c>
      <c r="O572" s="9">
        <f t="shared" si="35"/>
        <v>41999.25</v>
      </c>
      <c r="P572" t="b">
        <v>0</v>
      </c>
      <c r="Q572" t="b">
        <v>1</v>
      </c>
      <c r="R572" t="s">
        <v>23</v>
      </c>
      <c r="S572" s="5" t="str" cm="1">
        <f t="array" ref="S572:T572">_xlfn.TEXTSPLIT(R572, "/")</f>
        <v>music</v>
      </c>
      <c r="T572" s="5" t="str">
        <v>rock</v>
      </c>
    </row>
    <row r="573" spans="1:20" ht="19.5" x14ac:dyDescent="0.4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 s="4">
        <f t="shared" si="32"/>
        <v>94.142857142857139</v>
      </c>
      <c r="K573">
        <v>1434690000</v>
      </c>
      <c r="L573" s="5">
        <f t="shared" si="33"/>
        <v>94.142857142857139</v>
      </c>
      <c r="M573">
        <v>1438750800</v>
      </c>
      <c r="N573" s="9">
        <f t="shared" si="34"/>
        <v>42174.208333333328</v>
      </c>
      <c r="O573" s="9">
        <f t="shared" si="35"/>
        <v>42221.208333333328</v>
      </c>
      <c r="P573" t="b">
        <v>0</v>
      </c>
      <c r="Q573" t="b">
        <v>0</v>
      </c>
      <c r="R573" t="s">
        <v>100</v>
      </c>
      <c r="S573" s="5" t="str" cm="1">
        <f t="array" ref="S573:T573">_xlfn.TEXTSPLIT(R573, "/")</f>
        <v>film &amp; video</v>
      </c>
      <c r="T573" s="5" t="str">
        <v>shorts</v>
      </c>
    </row>
    <row r="574" spans="1:20" ht="19.5" x14ac:dyDescent="0.4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 s="4">
        <f t="shared" si="32"/>
        <v>54.400000000000006</v>
      </c>
      <c r="K574">
        <v>1443416400</v>
      </c>
      <c r="L574" s="5">
        <f t="shared" si="33"/>
        <v>52.085106382978722</v>
      </c>
      <c r="M574">
        <v>1444798800</v>
      </c>
      <c r="N574" s="9">
        <f t="shared" si="34"/>
        <v>42275.208333333328</v>
      </c>
      <c r="O574" s="9">
        <f t="shared" si="35"/>
        <v>42291.208333333328</v>
      </c>
      <c r="P574" t="b">
        <v>0</v>
      </c>
      <c r="Q574" t="b">
        <v>1</v>
      </c>
      <c r="R574" t="s">
        <v>23</v>
      </c>
      <c r="S574" s="5" t="str" cm="1">
        <f t="array" ref="S574:T574">_xlfn.TEXTSPLIT(R574, "/")</f>
        <v>music</v>
      </c>
      <c r="T574" s="5" t="str">
        <v>rock</v>
      </c>
    </row>
    <row r="575" spans="1:20" ht="19.5" x14ac:dyDescent="0.4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 s="4">
        <f t="shared" si="32"/>
        <v>111.88059701492537</v>
      </c>
      <c r="K575">
        <v>1399006800</v>
      </c>
      <c r="L575" s="5">
        <f t="shared" si="33"/>
        <v>24.986666666666668</v>
      </c>
      <c r="M575">
        <v>1399179600</v>
      </c>
      <c r="N575" s="9">
        <f t="shared" si="34"/>
        <v>41761.208333333336</v>
      </c>
      <c r="O575" s="9">
        <f t="shared" si="35"/>
        <v>41763.208333333336</v>
      </c>
      <c r="P575" t="b">
        <v>0</v>
      </c>
      <c r="Q575" t="b">
        <v>0</v>
      </c>
      <c r="R575" t="s">
        <v>1029</v>
      </c>
      <c r="S575" s="5" t="str" cm="1">
        <f t="array" ref="S575:T575">_xlfn.TEXTSPLIT(R575, "/")</f>
        <v>journalism</v>
      </c>
      <c r="T575" s="5" t="str">
        <v>audio</v>
      </c>
    </row>
    <row r="576" spans="1:20" ht="19.5" x14ac:dyDescent="0.4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 s="4">
        <f t="shared" si="32"/>
        <v>369.14814814814815</v>
      </c>
      <c r="K576">
        <v>1575698400</v>
      </c>
      <c r="L576" s="5">
        <f t="shared" si="33"/>
        <v>69.215277777777771</v>
      </c>
      <c r="M576">
        <v>1576562400</v>
      </c>
      <c r="N576" s="9">
        <f t="shared" si="34"/>
        <v>43806.25</v>
      </c>
      <c r="O576" s="9">
        <f t="shared" si="35"/>
        <v>43816.25</v>
      </c>
      <c r="P576" t="b">
        <v>0</v>
      </c>
      <c r="Q576" t="b">
        <v>1</v>
      </c>
      <c r="R576" t="s">
        <v>17</v>
      </c>
      <c r="S576" s="5" t="str" cm="1">
        <f t="array" ref="S576:T576">_xlfn.TEXTSPLIT(R576, "/")</f>
        <v>food</v>
      </c>
      <c r="T576" s="5" t="str">
        <v>food trucks</v>
      </c>
    </row>
    <row r="577" spans="1:20" ht="19.5" x14ac:dyDescent="0.4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 s="4">
        <f t="shared" si="32"/>
        <v>62.930372148859547</v>
      </c>
      <c r="K577">
        <v>1400562000</v>
      </c>
      <c r="L577" s="5">
        <f t="shared" si="33"/>
        <v>93.944444444444443</v>
      </c>
      <c r="M577">
        <v>1400821200</v>
      </c>
      <c r="N577" s="9">
        <f t="shared" si="34"/>
        <v>41779.208333333336</v>
      </c>
      <c r="O577" s="9">
        <f t="shared" si="35"/>
        <v>41782.208333333336</v>
      </c>
      <c r="P577" t="b">
        <v>0</v>
      </c>
      <c r="Q577" t="b">
        <v>1</v>
      </c>
      <c r="R577" t="s">
        <v>33</v>
      </c>
      <c r="S577" s="5" t="str" cm="1">
        <f t="array" ref="S577:T577">_xlfn.TEXTSPLIT(R577, "/")</f>
        <v>theater</v>
      </c>
      <c r="T577" s="5" t="str">
        <v>plays</v>
      </c>
    </row>
    <row r="578" spans="1:20" ht="33.75" x14ac:dyDescent="0.4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 s="4">
        <f t="shared" si="32"/>
        <v>64.927835051546396</v>
      </c>
      <c r="K578">
        <v>1509512400</v>
      </c>
      <c r="L578" s="5">
        <f t="shared" si="33"/>
        <v>98.40625</v>
      </c>
      <c r="M578">
        <v>1510984800</v>
      </c>
      <c r="N578" s="9">
        <f t="shared" si="34"/>
        <v>43040.208333333328</v>
      </c>
      <c r="O578" s="9">
        <f t="shared" si="35"/>
        <v>43057.25</v>
      </c>
      <c r="P578" t="b">
        <v>0</v>
      </c>
      <c r="Q578" t="b">
        <v>0</v>
      </c>
      <c r="R578" t="s">
        <v>33</v>
      </c>
      <c r="S578" s="5" t="str" cm="1">
        <f t="array" ref="S578:T578">_xlfn.TEXTSPLIT(R578, "/")</f>
        <v>theater</v>
      </c>
      <c r="T578" s="5" t="str">
        <v>plays</v>
      </c>
    </row>
    <row r="579" spans="1:20" ht="19.5" x14ac:dyDescent="0.4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 s="4">
        <f t="shared" ref="J579:J642" si="36">(E579/D579*100)</f>
        <v>18.853658536585368</v>
      </c>
      <c r="K579">
        <v>1299823200</v>
      </c>
      <c r="L579" s="5">
        <f t="shared" ref="L579:L642" si="37">E579/G579</f>
        <v>41.783783783783782</v>
      </c>
      <c r="M579">
        <v>1302066000</v>
      </c>
      <c r="N579" s="9">
        <f t="shared" ref="N579:N642" si="38">(((K579/60)/60)/24)+DATE(1970,1,1)</f>
        <v>40613.25</v>
      </c>
      <c r="O579" s="9">
        <f t="shared" ref="O579:O642" si="39">(((M579/60)/60)/24)+DATE(1970,1,1)</f>
        <v>40639.208333333336</v>
      </c>
      <c r="P579" t="b">
        <v>0</v>
      </c>
      <c r="Q579" t="b">
        <v>0</v>
      </c>
      <c r="R579" t="s">
        <v>159</v>
      </c>
      <c r="S579" s="5" t="str" cm="1">
        <f t="array" ref="S579:T579">_xlfn.TEXTSPLIT(R579, "/")</f>
        <v>music</v>
      </c>
      <c r="T579" s="5" t="str">
        <v>jazz</v>
      </c>
    </row>
    <row r="580" spans="1:20" ht="19.5" x14ac:dyDescent="0.4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 s="4">
        <f t="shared" si="36"/>
        <v>16.754404145077721</v>
      </c>
      <c r="K580">
        <v>1322719200</v>
      </c>
      <c r="L580" s="5">
        <f t="shared" si="37"/>
        <v>65.991836734693877</v>
      </c>
      <c r="M580">
        <v>1322978400</v>
      </c>
      <c r="N580" s="9">
        <f t="shared" si="38"/>
        <v>40878.25</v>
      </c>
      <c r="O580" s="9">
        <f t="shared" si="39"/>
        <v>40881.25</v>
      </c>
      <c r="P580" t="b">
        <v>0</v>
      </c>
      <c r="Q580" t="b">
        <v>0</v>
      </c>
      <c r="R580" t="s">
        <v>474</v>
      </c>
      <c r="S580" s="5" t="str" cm="1">
        <f t="array" ref="S580:T580">_xlfn.TEXTSPLIT(R580, "/")</f>
        <v>film &amp; video</v>
      </c>
      <c r="T580" s="5" t="str">
        <v>science fiction</v>
      </c>
    </row>
    <row r="581" spans="1:20" ht="19.5" x14ac:dyDescent="0.4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 s="4">
        <f t="shared" si="36"/>
        <v>101.11290322580646</v>
      </c>
      <c r="K581">
        <v>1312693200</v>
      </c>
      <c r="L581" s="5">
        <f t="shared" si="37"/>
        <v>72.05747126436782</v>
      </c>
      <c r="M581">
        <v>1313730000</v>
      </c>
      <c r="N581" s="9">
        <f t="shared" si="38"/>
        <v>40762.208333333336</v>
      </c>
      <c r="O581" s="9">
        <f t="shared" si="39"/>
        <v>40774.208333333336</v>
      </c>
      <c r="P581" t="b">
        <v>0</v>
      </c>
      <c r="Q581" t="b">
        <v>0</v>
      </c>
      <c r="R581" t="s">
        <v>159</v>
      </c>
      <c r="S581" s="5" t="str" cm="1">
        <f t="array" ref="S581:T581">_xlfn.TEXTSPLIT(R581, "/")</f>
        <v>music</v>
      </c>
      <c r="T581" s="5" t="str">
        <v>jazz</v>
      </c>
    </row>
    <row r="582" spans="1:20" ht="19.5" x14ac:dyDescent="0.4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 s="4">
        <f t="shared" si="36"/>
        <v>341.5022831050228</v>
      </c>
      <c r="K582">
        <v>1393394400</v>
      </c>
      <c r="L582" s="5">
        <f t="shared" si="37"/>
        <v>48.003209242618745</v>
      </c>
      <c r="M582">
        <v>1394085600</v>
      </c>
      <c r="N582" s="9">
        <f t="shared" si="38"/>
        <v>41696.25</v>
      </c>
      <c r="O582" s="9">
        <f t="shared" si="39"/>
        <v>41704.25</v>
      </c>
      <c r="P582" t="b">
        <v>0</v>
      </c>
      <c r="Q582" t="b">
        <v>0</v>
      </c>
      <c r="R582" t="s">
        <v>33</v>
      </c>
      <c r="S582" s="5" t="str" cm="1">
        <f t="array" ref="S582:T582">_xlfn.TEXTSPLIT(R582, "/")</f>
        <v>theater</v>
      </c>
      <c r="T582" s="5" t="str">
        <v>plays</v>
      </c>
    </row>
    <row r="583" spans="1:20" ht="19.5" x14ac:dyDescent="0.4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 s="4">
        <f t="shared" si="36"/>
        <v>64.016666666666666</v>
      </c>
      <c r="K583">
        <v>1304053200</v>
      </c>
      <c r="L583" s="5">
        <f t="shared" si="37"/>
        <v>54.098591549295776</v>
      </c>
      <c r="M583">
        <v>1305349200</v>
      </c>
      <c r="N583" s="9">
        <f t="shared" si="38"/>
        <v>40662.208333333336</v>
      </c>
      <c r="O583" s="9">
        <f t="shared" si="39"/>
        <v>40677.208333333336</v>
      </c>
      <c r="P583" t="b">
        <v>0</v>
      </c>
      <c r="Q583" t="b">
        <v>0</v>
      </c>
      <c r="R583" t="s">
        <v>28</v>
      </c>
      <c r="S583" s="5" t="str" cm="1">
        <f t="array" ref="S583:T583">_xlfn.TEXTSPLIT(R583, "/")</f>
        <v>technology</v>
      </c>
      <c r="T583" s="5" t="str">
        <v>web</v>
      </c>
    </row>
    <row r="584" spans="1:20" ht="19.5" x14ac:dyDescent="0.4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 s="4">
        <f t="shared" si="36"/>
        <v>52.080459770114942</v>
      </c>
      <c r="K584">
        <v>1433912400</v>
      </c>
      <c r="L584" s="5">
        <f t="shared" si="37"/>
        <v>107.88095238095238</v>
      </c>
      <c r="M584">
        <v>1434344400</v>
      </c>
      <c r="N584" s="9">
        <f t="shared" si="38"/>
        <v>42165.208333333328</v>
      </c>
      <c r="O584" s="9">
        <f t="shared" si="39"/>
        <v>42170.208333333328</v>
      </c>
      <c r="P584" t="b">
        <v>0</v>
      </c>
      <c r="Q584" t="b">
        <v>1</v>
      </c>
      <c r="R584" t="s">
        <v>89</v>
      </c>
      <c r="S584" s="5" t="str" cm="1">
        <f t="array" ref="S584:T584">_xlfn.TEXTSPLIT(R584, "/")</f>
        <v>games</v>
      </c>
      <c r="T584" s="5" t="str">
        <v>video games</v>
      </c>
    </row>
    <row r="585" spans="1:20" ht="33.75" x14ac:dyDescent="0.4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 s="4">
        <f t="shared" si="36"/>
        <v>322.40211640211641</v>
      </c>
      <c r="K585">
        <v>1329717600</v>
      </c>
      <c r="L585" s="5">
        <f t="shared" si="37"/>
        <v>67.034103410341032</v>
      </c>
      <c r="M585">
        <v>1331186400</v>
      </c>
      <c r="N585" s="9">
        <f t="shared" si="38"/>
        <v>40959.25</v>
      </c>
      <c r="O585" s="9">
        <f t="shared" si="39"/>
        <v>40976.25</v>
      </c>
      <c r="P585" t="b">
        <v>0</v>
      </c>
      <c r="Q585" t="b">
        <v>0</v>
      </c>
      <c r="R585" t="s">
        <v>42</v>
      </c>
      <c r="S585" s="5" t="str" cm="1">
        <f t="array" ref="S585:T585">_xlfn.TEXTSPLIT(R585, "/")</f>
        <v>film &amp; video</v>
      </c>
      <c r="T585" s="5" t="str">
        <v>documentary</v>
      </c>
    </row>
    <row r="586" spans="1:20" ht="19.5" x14ac:dyDescent="0.4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 s="4">
        <f t="shared" si="36"/>
        <v>119.50810185185186</v>
      </c>
      <c r="K586">
        <v>1335330000</v>
      </c>
      <c r="L586" s="5">
        <f t="shared" si="37"/>
        <v>64.01425914445133</v>
      </c>
      <c r="M586">
        <v>1336539600</v>
      </c>
      <c r="N586" s="9">
        <f t="shared" si="38"/>
        <v>41024.208333333336</v>
      </c>
      <c r="O586" s="9">
        <f t="shared" si="39"/>
        <v>41038.208333333336</v>
      </c>
      <c r="P586" t="b">
        <v>0</v>
      </c>
      <c r="Q586" t="b">
        <v>0</v>
      </c>
      <c r="R586" t="s">
        <v>28</v>
      </c>
      <c r="S586" s="5" t="str" cm="1">
        <f t="array" ref="S586:T586">_xlfn.TEXTSPLIT(R586, "/")</f>
        <v>technology</v>
      </c>
      <c r="T586" s="5" t="str">
        <v>web</v>
      </c>
    </row>
    <row r="587" spans="1:20" ht="19.5" x14ac:dyDescent="0.4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 s="4">
        <f t="shared" si="36"/>
        <v>146.79775280898878</v>
      </c>
      <c r="K587">
        <v>1268888400</v>
      </c>
      <c r="L587" s="5">
        <f t="shared" si="37"/>
        <v>96.066176470588232</v>
      </c>
      <c r="M587">
        <v>1269752400</v>
      </c>
      <c r="N587" s="9">
        <f t="shared" si="38"/>
        <v>40255.208333333336</v>
      </c>
      <c r="O587" s="9">
        <f t="shared" si="39"/>
        <v>40265.208333333336</v>
      </c>
      <c r="P587" t="b">
        <v>0</v>
      </c>
      <c r="Q587" t="b">
        <v>0</v>
      </c>
      <c r="R587" t="s">
        <v>206</v>
      </c>
      <c r="S587" s="5" t="str" cm="1">
        <f t="array" ref="S587:T587">_xlfn.TEXTSPLIT(R587, "/")</f>
        <v>publishing</v>
      </c>
      <c r="T587" s="5" t="str">
        <v>translations</v>
      </c>
    </row>
    <row r="588" spans="1:20" ht="19.5" x14ac:dyDescent="0.4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 s="4">
        <f t="shared" si="36"/>
        <v>950.57142857142856</v>
      </c>
      <c r="K588">
        <v>1289973600</v>
      </c>
      <c r="L588" s="5">
        <f t="shared" si="37"/>
        <v>51.184615384615384</v>
      </c>
      <c r="M588">
        <v>1291615200</v>
      </c>
      <c r="N588" s="9">
        <f t="shared" si="38"/>
        <v>40499.25</v>
      </c>
      <c r="O588" s="9">
        <f t="shared" si="39"/>
        <v>40518.25</v>
      </c>
      <c r="P588" t="b">
        <v>0</v>
      </c>
      <c r="Q588" t="b">
        <v>0</v>
      </c>
      <c r="R588" t="s">
        <v>23</v>
      </c>
      <c r="S588" s="5" t="str" cm="1">
        <f t="array" ref="S588:T588">_xlfn.TEXTSPLIT(R588, "/")</f>
        <v>music</v>
      </c>
      <c r="T588" s="5" t="str">
        <v>rock</v>
      </c>
    </row>
    <row r="589" spans="1:20" ht="19.5" x14ac:dyDescent="0.4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 s="4">
        <f t="shared" si="36"/>
        <v>72.893617021276597</v>
      </c>
      <c r="K589">
        <v>1547877600</v>
      </c>
      <c r="L589" s="5">
        <f t="shared" si="37"/>
        <v>43.92307692307692</v>
      </c>
      <c r="M589">
        <v>1552366800</v>
      </c>
      <c r="N589" s="9">
        <f t="shared" si="38"/>
        <v>43484.25</v>
      </c>
      <c r="O589" s="9">
        <f t="shared" si="39"/>
        <v>43536.208333333328</v>
      </c>
      <c r="P589" t="b">
        <v>0</v>
      </c>
      <c r="Q589" t="b">
        <v>1</v>
      </c>
      <c r="R589" t="s">
        <v>17</v>
      </c>
      <c r="S589" s="5" t="str" cm="1">
        <f t="array" ref="S589:T589">_xlfn.TEXTSPLIT(R589, "/")</f>
        <v>food</v>
      </c>
      <c r="T589" s="5" t="str">
        <v>food trucks</v>
      </c>
    </row>
    <row r="590" spans="1:20" ht="19.5" x14ac:dyDescent="0.4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 s="4">
        <f t="shared" si="36"/>
        <v>79.008248730964468</v>
      </c>
      <c r="K590">
        <v>1269493200</v>
      </c>
      <c r="L590" s="5">
        <f t="shared" si="37"/>
        <v>91.021198830409361</v>
      </c>
      <c r="M590">
        <v>1272171600</v>
      </c>
      <c r="N590" s="9">
        <f t="shared" si="38"/>
        <v>40262.208333333336</v>
      </c>
      <c r="O590" s="9">
        <f t="shared" si="39"/>
        <v>40293.208333333336</v>
      </c>
      <c r="P590" t="b">
        <v>0</v>
      </c>
      <c r="Q590" t="b">
        <v>0</v>
      </c>
      <c r="R590" t="s">
        <v>33</v>
      </c>
      <c r="S590" s="5" t="str" cm="1">
        <f t="array" ref="S590:T590">_xlfn.TEXTSPLIT(R590, "/")</f>
        <v>theater</v>
      </c>
      <c r="T590" s="5" t="str">
        <v>plays</v>
      </c>
    </row>
    <row r="591" spans="1:20" ht="19.5" x14ac:dyDescent="0.4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 s="4">
        <f t="shared" si="36"/>
        <v>64.721518987341781</v>
      </c>
      <c r="K591">
        <v>1436072400</v>
      </c>
      <c r="L591" s="5">
        <f t="shared" si="37"/>
        <v>50.127450980392155</v>
      </c>
      <c r="M591">
        <v>1436677200</v>
      </c>
      <c r="N591" s="9">
        <f t="shared" si="38"/>
        <v>42190.208333333328</v>
      </c>
      <c r="O591" s="9">
        <f t="shared" si="39"/>
        <v>42197.208333333328</v>
      </c>
      <c r="P591" t="b">
        <v>0</v>
      </c>
      <c r="Q591" t="b">
        <v>0</v>
      </c>
      <c r="R591" t="s">
        <v>42</v>
      </c>
      <c r="S591" s="5" t="str" cm="1">
        <f t="array" ref="S591:T591">_xlfn.TEXTSPLIT(R591, "/")</f>
        <v>film &amp; video</v>
      </c>
      <c r="T591" s="5" t="str">
        <v>documentary</v>
      </c>
    </row>
    <row r="592" spans="1:20" ht="33.75" x14ac:dyDescent="0.4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 s="4">
        <f t="shared" si="36"/>
        <v>82.028169014084511</v>
      </c>
      <c r="K592">
        <v>1419141600</v>
      </c>
      <c r="L592" s="5">
        <f t="shared" si="37"/>
        <v>67.720930232558146</v>
      </c>
      <c r="M592">
        <v>1420092000</v>
      </c>
      <c r="N592" s="9">
        <f t="shared" si="38"/>
        <v>41994.25</v>
      </c>
      <c r="O592" s="9">
        <f t="shared" si="39"/>
        <v>42005.25</v>
      </c>
      <c r="P592" t="b">
        <v>0</v>
      </c>
      <c r="Q592" t="b">
        <v>0</v>
      </c>
      <c r="R592" t="s">
        <v>133</v>
      </c>
      <c r="S592" s="5" t="str" cm="1">
        <f t="array" ref="S592:T592">_xlfn.TEXTSPLIT(R592, "/")</f>
        <v>publishing</v>
      </c>
      <c r="T592" s="5" t="str">
        <v>radio &amp; podcasts</v>
      </c>
    </row>
    <row r="593" spans="1:20" ht="19.5" x14ac:dyDescent="0.4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 s="4">
        <f t="shared" si="36"/>
        <v>1037.6666666666667</v>
      </c>
      <c r="K593">
        <v>1279083600</v>
      </c>
      <c r="L593" s="5">
        <f t="shared" si="37"/>
        <v>61.03921568627451</v>
      </c>
      <c r="M593">
        <v>1279947600</v>
      </c>
      <c r="N593" s="9">
        <f t="shared" si="38"/>
        <v>40373.208333333336</v>
      </c>
      <c r="O593" s="9">
        <f t="shared" si="39"/>
        <v>40383.208333333336</v>
      </c>
      <c r="P593" t="b">
        <v>0</v>
      </c>
      <c r="Q593" t="b">
        <v>0</v>
      </c>
      <c r="R593" t="s">
        <v>89</v>
      </c>
      <c r="S593" s="5" t="str" cm="1">
        <f t="array" ref="S593:T593">_xlfn.TEXTSPLIT(R593, "/")</f>
        <v>games</v>
      </c>
      <c r="T593" s="5" t="str">
        <v>video games</v>
      </c>
    </row>
    <row r="594" spans="1:20" ht="33.75" x14ac:dyDescent="0.4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 s="4">
        <f t="shared" si="36"/>
        <v>12.910076530612244</v>
      </c>
      <c r="K594">
        <v>1401426000</v>
      </c>
      <c r="L594" s="5">
        <f t="shared" si="37"/>
        <v>80.011857707509876</v>
      </c>
      <c r="M594">
        <v>1402203600</v>
      </c>
      <c r="N594" s="9">
        <f t="shared" si="38"/>
        <v>41789.208333333336</v>
      </c>
      <c r="O594" s="9">
        <f t="shared" si="39"/>
        <v>41798.208333333336</v>
      </c>
      <c r="P594" t="b">
        <v>0</v>
      </c>
      <c r="Q594" t="b">
        <v>0</v>
      </c>
      <c r="R594" t="s">
        <v>33</v>
      </c>
      <c r="S594" s="5" t="str" cm="1">
        <f t="array" ref="S594:T594">_xlfn.TEXTSPLIT(R594, "/")</f>
        <v>theater</v>
      </c>
      <c r="T594" s="5" t="str">
        <v>plays</v>
      </c>
    </row>
    <row r="595" spans="1:20" ht="19.5" x14ac:dyDescent="0.4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 s="4">
        <f t="shared" si="36"/>
        <v>154.84210526315789</v>
      </c>
      <c r="K595">
        <v>1395810000</v>
      </c>
      <c r="L595" s="5">
        <f t="shared" si="37"/>
        <v>47.001497753369947</v>
      </c>
      <c r="M595">
        <v>1396933200</v>
      </c>
      <c r="N595" s="9">
        <f t="shared" si="38"/>
        <v>41724.208333333336</v>
      </c>
      <c r="O595" s="9">
        <f t="shared" si="39"/>
        <v>41737.208333333336</v>
      </c>
      <c r="P595" t="b">
        <v>0</v>
      </c>
      <c r="Q595" t="b">
        <v>0</v>
      </c>
      <c r="R595" t="s">
        <v>71</v>
      </c>
      <c r="S595" s="5" t="str" cm="1">
        <f t="array" ref="S595:T595">_xlfn.TEXTSPLIT(R595, "/")</f>
        <v>film &amp; video</v>
      </c>
      <c r="T595" s="5" t="str">
        <v>animation</v>
      </c>
    </row>
    <row r="596" spans="1:20" ht="33.75" x14ac:dyDescent="0.4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 s="4">
        <f t="shared" si="36"/>
        <v>7.0991735537190088</v>
      </c>
      <c r="K596">
        <v>1467003600</v>
      </c>
      <c r="L596" s="5">
        <f t="shared" si="37"/>
        <v>71.127388535031841</v>
      </c>
      <c r="M596">
        <v>1467262800</v>
      </c>
      <c r="N596" s="9">
        <f t="shared" si="38"/>
        <v>42548.208333333328</v>
      </c>
      <c r="O596" s="9">
        <f t="shared" si="39"/>
        <v>42551.208333333328</v>
      </c>
      <c r="P596" t="b">
        <v>0</v>
      </c>
      <c r="Q596" t="b">
        <v>1</v>
      </c>
      <c r="R596" t="s">
        <v>33</v>
      </c>
      <c r="S596" s="5" t="str" cm="1">
        <f t="array" ref="S596:T596">_xlfn.TEXTSPLIT(R596, "/")</f>
        <v>theater</v>
      </c>
      <c r="T596" s="5" t="str">
        <v>plays</v>
      </c>
    </row>
    <row r="597" spans="1:20" ht="33.75" x14ac:dyDescent="0.4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 s="4">
        <f t="shared" si="36"/>
        <v>208.52773826458036</v>
      </c>
      <c r="K597">
        <v>1268715600</v>
      </c>
      <c r="L597" s="5">
        <f t="shared" si="37"/>
        <v>89.99079189686924</v>
      </c>
      <c r="M597">
        <v>1270530000</v>
      </c>
      <c r="N597" s="9">
        <f t="shared" si="38"/>
        <v>40253.208333333336</v>
      </c>
      <c r="O597" s="9">
        <f t="shared" si="39"/>
        <v>40274.208333333336</v>
      </c>
      <c r="P597" t="b">
        <v>0</v>
      </c>
      <c r="Q597" t="b">
        <v>1</v>
      </c>
      <c r="R597" t="s">
        <v>33</v>
      </c>
      <c r="S597" s="5" t="str" cm="1">
        <f t="array" ref="S597:T597">_xlfn.TEXTSPLIT(R597, "/")</f>
        <v>theater</v>
      </c>
      <c r="T597" s="5" t="str">
        <v>plays</v>
      </c>
    </row>
    <row r="598" spans="1:20" ht="19.5" x14ac:dyDescent="0.4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 s="4">
        <f t="shared" si="36"/>
        <v>99.683544303797461</v>
      </c>
      <c r="K598">
        <v>1457157600</v>
      </c>
      <c r="L598" s="5">
        <f t="shared" si="37"/>
        <v>43.032786885245905</v>
      </c>
      <c r="M598">
        <v>1457762400</v>
      </c>
      <c r="N598" s="9">
        <f t="shared" si="38"/>
        <v>42434.25</v>
      </c>
      <c r="O598" s="9">
        <f t="shared" si="39"/>
        <v>42441.25</v>
      </c>
      <c r="P598" t="b">
        <v>0</v>
      </c>
      <c r="Q598" t="b">
        <v>1</v>
      </c>
      <c r="R598" t="s">
        <v>53</v>
      </c>
      <c r="S598" s="5" t="str" cm="1">
        <f t="array" ref="S598:T598">_xlfn.TEXTSPLIT(R598, "/")</f>
        <v>film &amp; video</v>
      </c>
      <c r="T598" s="5" t="str">
        <v>drama</v>
      </c>
    </row>
    <row r="599" spans="1:20" ht="19.5" x14ac:dyDescent="0.4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 s="4">
        <f t="shared" si="36"/>
        <v>201.59756097560978</v>
      </c>
      <c r="K599">
        <v>1573970400</v>
      </c>
      <c r="L599" s="5">
        <f t="shared" si="37"/>
        <v>67.997714808043881</v>
      </c>
      <c r="M599">
        <v>1575525600</v>
      </c>
      <c r="N599" s="9">
        <f t="shared" si="38"/>
        <v>43786.25</v>
      </c>
      <c r="O599" s="9">
        <f t="shared" si="39"/>
        <v>43804.25</v>
      </c>
      <c r="P599" t="b">
        <v>0</v>
      </c>
      <c r="Q599" t="b">
        <v>0</v>
      </c>
      <c r="R599" t="s">
        <v>33</v>
      </c>
      <c r="S599" s="5" t="str" cm="1">
        <f t="array" ref="S599:T599">_xlfn.TEXTSPLIT(R599, "/")</f>
        <v>theater</v>
      </c>
      <c r="T599" s="5" t="str">
        <v>plays</v>
      </c>
    </row>
    <row r="600" spans="1:20" ht="19.5" x14ac:dyDescent="0.4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 s="4">
        <f t="shared" si="36"/>
        <v>162.09032258064516</v>
      </c>
      <c r="K600">
        <v>1276578000</v>
      </c>
      <c r="L600" s="5">
        <f t="shared" si="37"/>
        <v>73.004566210045667</v>
      </c>
      <c r="M600">
        <v>1279083600</v>
      </c>
      <c r="N600" s="9">
        <f t="shared" si="38"/>
        <v>40344.208333333336</v>
      </c>
      <c r="O600" s="9">
        <f t="shared" si="39"/>
        <v>40373.208333333336</v>
      </c>
      <c r="P600" t="b">
        <v>0</v>
      </c>
      <c r="Q600" t="b">
        <v>0</v>
      </c>
      <c r="R600" t="s">
        <v>23</v>
      </c>
      <c r="S600" s="5" t="str" cm="1">
        <f t="array" ref="S600:T600">_xlfn.TEXTSPLIT(R600, "/")</f>
        <v>music</v>
      </c>
      <c r="T600" s="5" t="str">
        <v>rock</v>
      </c>
    </row>
    <row r="601" spans="1:20" ht="33.75" x14ac:dyDescent="0.4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 s="4">
        <f t="shared" si="36"/>
        <v>3.6436208125445471</v>
      </c>
      <c r="K601">
        <v>1423720800</v>
      </c>
      <c r="L601" s="5">
        <f t="shared" si="37"/>
        <v>62.341463414634148</v>
      </c>
      <c r="M601">
        <v>1424412000</v>
      </c>
      <c r="N601" s="9">
        <f t="shared" si="38"/>
        <v>42047.25</v>
      </c>
      <c r="O601" s="9">
        <f t="shared" si="39"/>
        <v>42055.25</v>
      </c>
      <c r="P601" t="b">
        <v>0</v>
      </c>
      <c r="Q601" t="b">
        <v>0</v>
      </c>
      <c r="R601" t="s">
        <v>42</v>
      </c>
      <c r="S601" s="5" t="str" cm="1">
        <f t="array" ref="S601:T601">_xlfn.TEXTSPLIT(R601, "/")</f>
        <v>film &amp; video</v>
      </c>
      <c r="T601" s="5" t="str">
        <v>documentary</v>
      </c>
    </row>
    <row r="602" spans="1:20" ht="19.5" x14ac:dyDescent="0.4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 s="4">
        <f t="shared" si="36"/>
        <v>5</v>
      </c>
      <c r="K602">
        <v>1375160400</v>
      </c>
      <c r="L602" s="5">
        <f t="shared" si="37"/>
        <v>5</v>
      </c>
      <c r="M602">
        <v>1376197200</v>
      </c>
      <c r="N602" s="9">
        <f t="shared" si="38"/>
        <v>41485.208333333336</v>
      </c>
      <c r="O602" s="9">
        <f t="shared" si="39"/>
        <v>41497.208333333336</v>
      </c>
      <c r="P602" t="b">
        <v>0</v>
      </c>
      <c r="Q602" t="b">
        <v>0</v>
      </c>
      <c r="R602" t="s">
        <v>17</v>
      </c>
      <c r="S602" s="5" t="str" cm="1">
        <f t="array" ref="S602:T602">_xlfn.TEXTSPLIT(R602, "/")</f>
        <v>food</v>
      </c>
      <c r="T602" s="5" t="str">
        <v>food trucks</v>
      </c>
    </row>
    <row r="603" spans="1:20" ht="19.5" x14ac:dyDescent="0.4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 s="4">
        <f t="shared" si="36"/>
        <v>206.63492063492063</v>
      </c>
      <c r="K603">
        <v>1401426000</v>
      </c>
      <c r="L603" s="5">
        <f t="shared" si="37"/>
        <v>67.103092783505161</v>
      </c>
      <c r="M603">
        <v>1402894800</v>
      </c>
      <c r="N603" s="9">
        <f t="shared" si="38"/>
        <v>41789.208333333336</v>
      </c>
      <c r="O603" s="9">
        <f t="shared" si="39"/>
        <v>41806.208333333336</v>
      </c>
      <c r="P603" t="b">
        <v>1</v>
      </c>
      <c r="Q603" t="b">
        <v>0</v>
      </c>
      <c r="R603" t="s">
        <v>65</v>
      </c>
      <c r="S603" s="5" t="str" cm="1">
        <f t="array" ref="S603:T603">_xlfn.TEXTSPLIT(R603, "/")</f>
        <v>technology</v>
      </c>
      <c r="T603" s="5" t="str">
        <v>wearables</v>
      </c>
    </row>
    <row r="604" spans="1:20" ht="19.5" x14ac:dyDescent="0.4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 s="4">
        <f t="shared" si="36"/>
        <v>128.23628691983123</v>
      </c>
      <c r="K604">
        <v>1433480400</v>
      </c>
      <c r="L604" s="5">
        <f t="shared" si="37"/>
        <v>79.978947368421046</v>
      </c>
      <c r="M604">
        <v>1434430800</v>
      </c>
      <c r="N604" s="9">
        <f t="shared" si="38"/>
        <v>42160.208333333328</v>
      </c>
      <c r="O604" s="9">
        <f t="shared" si="39"/>
        <v>42171.208333333328</v>
      </c>
      <c r="P604" t="b">
        <v>0</v>
      </c>
      <c r="Q604" t="b">
        <v>0</v>
      </c>
      <c r="R604" t="s">
        <v>33</v>
      </c>
      <c r="S604" s="5" t="str" cm="1">
        <f t="array" ref="S604:T604">_xlfn.TEXTSPLIT(R604, "/")</f>
        <v>theater</v>
      </c>
      <c r="T604" s="5" t="str">
        <v>plays</v>
      </c>
    </row>
    <row r="605" spans="1:20" ht="19.5" x14ac:dyDescent="0.4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 s="4">
        <f t="shared" si="36"/>
        <v>119.66037735849055</v>
      </c>
      <c r="K605">
        <v>1555563600</v>
      </c>
      <c r="L605" s="5">
        <f t="shared" si="37"/>
        <v>62.176470588235297</v>
      </c>
      <c r="M605">
        <v>1557896400</v>
      </c>
      <c r="N605" s="9">
        <f t="shared" si="38"/>
        <v>43573.208333333328</v>
      </c>
      <c r="O605" s="9">
        <f t="shared" si="39"/>
        <v>43600.208333333328</v>
      </c>
      <c r="P605" t="b">
        <v>0</v>
      </c>
      <c r="Q605" t="b">
        <v>0</v>
      </c>
      <c r="R605" t="s">
        <v>33</v>
      </c>
      <c r="S605" s="5" t="str" cm="1">
        <f t="array" ref="S605:T605">_xlfn.TEXTSPLIT(R605, "/")</f>
        <v>theater</v>
      </c>
      <c r="T605" s="5" t="str">
        <v>plays</v>
      </c>
    </row>
    <row r="606" spans="1:20" ht="19.5" x14ac:dyDescent="0.4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 s="4">
        <f t="shared" si="36"/>
        <v>170.73055242390078</v>
      </c>
      <c r="K606">
        <v>1295676000</v>
      </c>
      <c r="L606" s="5">
        <f t="shared" si="37"/>
        <v>53.005950297514879</v>
      </c>
      <c r="M606">
        <v>1297490400</v>
      </c>
      <c r="N606" s="9">
        <f t="shared" si="38"/>
        <v>40565.25</v>
      </c>
      <c r="O606" s="9">
        <f t="shared" si="39"/>
        <v>40586.25</v>
      </c>
      <c r="P606" t="b">
        <v>0</v>
      </c>
      <c r="Q606" t="b">
        <v>0</v>
      </c>
      <c r="R606" t="s">
        <v>33</v>
      </c>
      <c r="S606" s="5" t="str" cm="1">
        <f t="array" ref="S606:T606">_xlfn.TEXTSPLIT(R606, "/")</f>
        <v>theater</v>
      </c>
      <c r="T606" s="5" t="str">
        <v>plays</v>
      </c>
    </row>
    <row r="607" spans="1:20" ht="19.5" x14ac:dyDescent="0.4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 s="4">
        <f t="shared" si="36"/>
        <v>187.21212121212122</v>
      </c>
      <c r="K607">
        <v>1443848400</v>
      </c>
      <c r="L607" s="5">
        <f t="shared" si="37"/>
        <v>57.738317757009348</v>
      </c>
      <c r="M607">
        <v>1447394400</v>
      </c>
      <c r="N607" s="9">
        <f t="shared" si="38"/>
        <v>42280.208333333328</v>
      </c>
      <c r="O607" s="9">
        <f t="shared" si="39"/>
        <v>42321.25</v>
      </c>
      <c r="P607" t="b">
        <v>0</v>
      </c>
      <c r="Q607" t="b">
        <v>0</v>
      </c>
      <c r="R607" t="s">
        <v>68</v>
      </c>
      <c r="S607" s="5" t="str" cm="1">
        <f t="array" ref="S607:T607">_xlfn.TEXTSPLIT(R607, "/")</f>
        <v>publishing</v>
      </c>
      <c r="T607" s="5" t="str">
        <v>nonfiction</v>
      </c>
    </row>
    <row r="608" spans="1:20" ht="19.5" x14ac:dyDescent="0.4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 s="4">
        <f t="shared" si="36"/>
        <v>188.38235294117646</v>
      </c>
      <c r="K608">
        <v>1457330400</v>
      </c>
      <c r="L608" s="5">
        <f t="shared" si="37"/>
        <v>40.03125</v>
      </c>
      <c r="M608">
        <v>1458277200</v>
      </c>
      <c r="N608" s="9">
        <f t="shared" si="38"/>
        <v>42436.25</v>
      </c>
      <c r="O608" s="9">
        <f t="shared" si="39"/>
        <v>42447.208333333328</v>
      </c>
      <c r="P608" t="b">
        <v>0</v>
      </c>
      <c r="Q608" t="b">
        <v>0</v>
      </c>
      <c r="R608" t="s">
        <v>23</v>
      </c>
      <c r="S608" s="5" t="str" cm="1">
        <f t="array" ref="S608:T608">_xlfn.TEXTSPLIT(R608, "/")</f>
        <v>music</v>
      </c>
      <c r="T608" s="5" t="str">
        <v>rock</v>
      </c>
    </row>
    <row r="609" spans="1:20" ht="19.5" x14ac:dyDescent="0.4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 s="4">
        <f t="shared" si="36"/>
        <v>131.29869186046511</v>
      </c>
      <c r="K609">
        <v>1395550800</v>
      </c>
      <c r="L609" s="5">
        <f t="shared" si="37"/>
        <v>81.016591928251117</v>
      </c>
      <c r="M609">
        <v>1395723600</v>
      </c>
      <c r="N609" s="9">
        <f t="shared" si="38"/>
        <v>41721.208333333336</v>
      </c>
      <c r="O609" s="9">
        <f t="shared" si="39"/>
        <v>41723.208333333336</v>
      </c>
      <c r="P609" t="b">
        <v>0</v>
      </c>
      <c r="Q609" t="b">
        <v>0</v>
      </c>
      <c r="R609" t="s">
        <v>17</v>
      </c>
      <c r="S609" s="5" t="str" cm="1">
        <f t="array" ref="S609:T609">_xlfn.TEXTSPLIT(R609, "/")</f>
        <v>food</v>
      </c>
      <c r="T609" s="5" t="str">
        <v>food trucks</v>
      </c>
    </row>
    <row r="610" spans="1:20" ht="19.5" x14ac:dyDescent="0.4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 s="4">
        <f t="shared" si="36"/>
        <v>283.97435897435901</v>
      </c>
      <c r="K610">
        <v>1551852000</v>
      </c>
      <c r="L610" s="5">
        <f t="shared" si="37"/>
        <v>35.047468354430379</v>
      </c>
      <c r="M610">
        <v>1552197600</v>
      </c>
      <c r="N610" s="9">
        <f t="shared" si="38"/>
        <v>43530.25</v>
      </c>
      <c r="O610" s="9">
        <f t="shared" si="39"/>
        <v>43534.25</v>
      </c>
      <c r="P610" t="b">
        <v>0</v>
      </c>
      <c r="Q610" t="b">
        <v>1</v>
      </c>
      <c r="R610" t="s">
        <v>159</v>
      </c>
      <c r="S610" s="5" t="str" cm="1">
        <f t="array" ref="S610:T610">_xlfn.TEXTSPLIT(R610, "/")</f>
        <v>music</v>
      </c>
      <c r="T610" s="5" t="str">
        <v>jazz</v>
      </c>
    </row>
    <row r="611" spans="1:20" ht="19.5" x14ac:dyDescent="0.4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 s="4">
        <f t="shared" si="36"/>
        <v>120.41999999999999</v>
      </c>
      <c r="K611">
        <v>1547618400</v>
      </c>
      <c r="L611" s="5">
        <f t="shared" si="37"/>
        <v>102.92307692307692</v>
      </c>
      <c r="M611">
        <v>1549087200</v>
      </c>
      <c r="N611" s="9">
        <f t="shared" si="38"/>
        <v>43481.25</v>
      </c>
      <c r="O611" s="9">
        <f t="shared" si="39"/>
        <v>43498.25</v>
      </c>
      <c r="P611" t="b">
        <v>0</v>
      </c>
      <c r="Q611" t="b">
        <v>0</v>
      </c>
      <c r="R611" t="s">
        <v>474</v>
      </c>
      <c r="S611" s="5" t="str" cm="1">
        <f t="array" ref="S611:T611">_xlfn.TEXTSPLIT(R611, "/")</f>
        <v>film &amp; video</v>
      </c>
      <c r="T611" s="5" t="str">
        <v>science fiction</v>
      </c>
    </row>
    <row r="612" spans="1:20" ht="33.75" x14ac:dyDescent="0.4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 s="4">
        <f t="shared" si="36"/>
        <v>419.0560747663551</v>
      </c>
      <c r="K612">
        <v>1355637600</v>
      </c>
      <c r="L612" s="5">
        <f t="shared" si="37"/>
        <v>27.998126756166094</v>
      </c>
      <c r="M612">
        <v>1356847200</v>
      </c>
      <c r="N612" s="9">
        <f t="shared" si="38"/>
        <v>41259.25</v>
      </c>
      <c r="O612" s="9">
        <f t="shared" si="39"/>
        <v>41273.25</v>
      </c>
      <c r="P612" t="b">
        <v>0</v>
      </c>
      <c r="Q612" t="b">
        <v>0</v>
      </c>
      <c r="R612" t="s">
        <v>33</v>
      </c>
      <c r="S612" s="5" t="str" cm="1">
        <f t="array" ref="S612:T612">_xlfn.TEXTSPLIT(R612, "/")</f>
        <v>theater</v>
      </c>
      <c r="T612" s="5" t="str">
        <v>plays</v>
      </c>
    </row>
    <row r="613" spans="1:20" ht="19.5" x14ac:dyDescent="0.4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 s="4">
        <f t="shared" si="36"/>
        <v>13.853658536585368</v>
      </c>
      <c r="K613">
        <v>1374728400</v>
      </c>
      <c r="L613" s="5">
        <f t="shared" si="37"/>
        <v>75.733333333333334</v>
      </c>
      <c r="M613">
        <v>1375765200</v>
      </c>
      <c r="N613" s="9">
        <f t="shared" si="38"/>
        <v>41480.208333333336</v>
      </c>
      <c r="O613" s="9">
        <f t="shared" si="39"/>
        <v>41492.208333333336</v>
      </c>
      <c r="P613" t="b">
        <v>0</v>
      </c>
      <c r="Q613" t="b">
        <v>0</v>
      </c>
      <c r="R613" t="s">
        <v>33</v>
      </c>
      <c r="S613" s="5" t="str" cm="1">
        <f t="array" ref="S613:T613">_xlfn.TEXTSPLIT(R613, "/")</f>
        <v>theater</v>
      </c>
      <c r="T613" s="5" t="str">
        <v>plays</v>
      </c>
    </row>
    <row r="614" spans="1:20" ht="19.5" x14ac:dyDescent="0.4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 s="4">
        <f t="shared" si="36"/>
        <v>139.43548387096774</v>
      </c>
      <c r="K614">
        <v>1287810000</v>
      </c>
      <c r="L614" s="5">
        <f t="shared" si="37"/>
        <v>45.026041666666664</v>
      </c>
      <c r="M614">
        <v>1289800800</v>
      </c>
      <c r="N614" s="9">
        <f t="shared" si="38"/>
        <v>40474.208333333336</v>
      </c>
      <c r="O614" s="9">
        <f t="shared" si="39"/>
        <v>40497.25</v>
      </c>
      <c r="P614" t="b">
        <v>0</v>
      </c>
      <c r="Q614" t="b">
        <v>0</v>
      </c>
      <c r="R614" t="s">
        <v>50</v>
      </c>
      <c r="S614" s="5" t="str" cm="1">
        <f t="array" ref="S614:T614">_xlfn.TEXTSPLIT(R614, "/")</f>
        <v>music</v>
      </c>
      <c r="T614" s="5" t="str">
        <v>electric music</v>
      </c>
    </row>
    <row r="615" spans="1:20" ht="19.5" x14ac:dyDescent="0.4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 s="4">
        <f t="shared" si="36"/>
        <v>174</v>
      </c>
      <c r="K615">
        <v>1503723600</v>
      </c>
      <c r="L615" s="5">
        <f t="shared" si="37"/>
        <v>73.615384615384613</v>
      </c>
      <c r="M615">
        <v>1504501200</v>
      </c>
      <c r="N615" s="9">
        <f t="shared" si="38"/>
        <v>42973.208333333328</v>
      </c>
      <c r="O615" s="9">
        <f t="shared" si="39"/>
        <v>42982.208333333328</v>
      </c>
      <c r="P615" t="b">
        <v>0</v>
      </c>
      <c r="Q615" t="b">
        <v>0</v>
      </c>
      <c r="R615" t="s">
        <v>33</v>
      </c>
      <c r="S615" s="5" t="str" cm="1">
        <f t="array" ref="S615:T615">_xlfn.TEXTSPLIT(R615, "/")</f>
        <v>theater</v>
      </c>
      <c r="T615" s="5" t="str">
        <v>plays</v>
      </c>
    </row>
    <row r="616" spans="1:20" ht="33.75" x14ac:dyDescent="0.4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 s="4">
        <f t="shared" si="36"/>
        <v>155.49056603773585</v>
      </c>
      <c r="K616">
        <v>1484114400</v>
      </c>
      <c r="L616" s="5">
        <f t="shared" si="37"/>
        <v>56.991701244813278</v>
      </c>
      <c r="M616">
        <v>1485669600</v>
      </c>
      <c r="N616" s="9">
        <f t="shared" si="38"/>
        <v>42746.25</v>
      </c>
      <c r="O616" s="9">
        <f t="shared" si="39"/>
        <v>42764.25</v>
      </c>
      <c r="P616" t="b">
        <v>0</v>
      </c>
      <c r="Q616" t="b">
        <v>0</v>
      </c>
      <c r="R616" t="s">
        <v>33</v>
      </c>
      <c r="S616" s="5" t="str" cm="1">
        <f t="array" ref="S616:T616">_xlfn.TEXTSPLIT(R616, "/")</f>
        <v>theater</v>
      </c>
      <c r="T616" s="5" t="str">
        <v>plays</v>
      </c>
    </row>
    <row r="617" spans="1:20" ht="19.5" x14ac:dyDescent="0.4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 s="4">
        <f t="shared" si="36"/>
        <v>170.44705882352943</v>
      </c>
      <c r="K617">
        <v>1461906000</v>
      </c>
      <c r="L617" s="5">
        <f t="shared" si="37"/>
        <v>85.223529411764702</v>
      </c>
      <c r="M617">
        <v>1462770000</v>
      </c>
      <c r="N617" s="9">
        <f t="shared" si="38"/>
        <v>42489.208333333328</v>
      </c>
      <c r="O617" s="9">
        <f t="shared" si="39"/>
        <v>42499.208333333328</v>
      </c>
      <c r="P617" t="b">
        <v>0</v>
      </c>
      <c r="Q617" t="b">
        <v>0</v>
      </c>
      <c r="R617" t="s">
        <v>33</v>
      </c>
      <c r="S617" s="5" t="str" cm="1">
        <f t="array" ref="S617:T617">_xlfn.TEXTSPLIT(R617, "/")</f>
        <v>theater</v>
      </c>
      <c r="T617" s="5" t="str">
        <v>plays</v>
      </c>
    </row>
    <row r="618" spans="1:20" ht="19.5" x14ac:dyDescent="0.4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 s="4">
        <f t="shared" si="36"/>
        <v>189.515625</v>
      </c>
      <c r="K618">
        <v>1379653200</v>
      </c>
      <c r="L618" s="5">
        <f t="shared" si="37"/>
        <v>50.962184873949582</v>
      </c>
      <c r="M618">
        <v>1379739600</v>
      </c>
      <c r="N618" s="9">
        <f t="shared" si="38"/>
        <v>41537.208333333336</v>
      </c>
      <c r="O618" s="9">
        <f t="shared" si="39"/>
        <v>41538.208333333336</v>
      </c>
      <c r="P618" t="b">
        <v>0</v>
      </c>
      <c r="Q618" t="b">
        <v>1</v>
      </c>
      <c r="R618" t="s">
        <v>60</v>
      </c>
      <c r="S618" s="5" t="str" cm="1">
        <f t="array" ref="S618:T618">_xlfn.TEXTSPLIT(R618, "/")</f>
        <v>music</v>
      </c>
      <c r="T618" s="5" t="str">
        <v>indie rock</v>
      </c>
    </row>
    <row r="619" spans="1:20" ht="19.5" x14ac:dyDescent="0.4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 s="4">
        <f t="shared" si="36"/>
        <v>249.71428571428572</v>
      </c>
      <c r="K619">
        <v>1401858000</v>
      </c>
      <c r="L619" s="5">
        <f t="shared" si="37"/>
        <v>63.563636363636363</v>
      </c>
      <c r="M619">
        <v>1402722000</v>
      </c>
      <c r="N619" s="9">
        <f t="shared" si="38"/>
        <v>41794.208333333336</v>
      </c>
      <c r="O619" s="9">
        <f t="shared" si="39"/>
        <v>41804.208333333336</v>
      </c>
      <c r="P619" t="b">
        <v>0</v>
      </c>
      <c r="Q619" t="b">
        <v>0</v>
      </c>
      <c r="R619" t="s">
        <v>33</v>
      </c>
      <c r="S619" s="5" t="str" cm="1">
        <f t="array" ref="S619:T619">_xlfn.TEXTSPLIT(R619, "/")</f>
        <v>theater</v>
      </c>
      <c r="T619" s="5" t="str">
        <v>plays</v>
      </c>
    </row>
    <row r="620" spans="1:20" ht="19.5" x14ac:dyDescent="0.4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 s="4">
        <f t="shared" si="36"/>
        <v>48.860523665659613</v>
      </c>
      <c r="K620">
        <v>1367470800</v>
      </c>
      <c r="L620" s="5">
        <f t="shared" si="37"/>
        <v>80.999165275459092</v>
      </c>
      <c r="M620">
        <v>1369285200</v>
      </c>
      <c r="N620" s="9">
        <f t="shared" si="38"/>
        <v>41396.208333333336</v>
      </c>
      <c r="O620" s="9">
        <f t="shared" si="39"/>
        <v>41417.208333333336</v>
      </c>
      <c r="P620" t="b">
        <v>0</v>
      </c>
      <c r="Q620" t="b">
        <v>0</v>
      </c>
      <c r="R620" t="s">
        <v>68</v>
      </c>
      <c r="S620" s="5" t="str" cm="1">
        <f t="array" ref="S620:T620">_xlfn.TEXTSPLIT(R620, "/")</f>
        <v>publishing</v>
      </c>
      <c r="T620" s="5" t="str">
        <v>nonfiction</v>
      </c>
    </row>
    <row r="621" spans="1:20" ht="19.5" x14ac:dyDescent="0.4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 s="4">
        <f t="shared" si="36"/>
        <v>28.461970393057683</v>
      </c>
      <c r="K621">
        <v>1304658000</v>
      </c>
      <c r="L621" s="5">
        <f t="shared" si="37"/>
        <v>86.044753086419746</v>
      </c>
      <c r="M621">
        <v>1304744400</v>
      </c>
      <c r="N621" s="9">
        <f t="shared" si="38"/>
        <v>40669.208333333336</v>
      </c>
      <c r="O621" s="9">
        <f t="shared" si="39"/>
        <v>40670.208333333336</v>
      </c>
      <c r="P621" t="b">
        <v>1</v>
      </c>
      <c r="Q621" t="b">
        <v>1</v>
      </c>
      <c r="R621" t="s">
        <v>33</v>
      </c>
      <c r="S621" s="5" t="str" cm="1">
        <f t="array" ref="S621:T621">_xlfn.TEXTSPLIT(R621, "/")</f>
        <v>theater</v>
      </c>
      <c r="T621" s="5" t="str">
        <v>plays</v>
      </c>
    </row>
    <row r="622" spans="1:20" ht="19.5" x14ac:dyDescent="0.4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 s="4">
        <f t="shared" si="36"/>
        <v>268.02325581395348</v>
      </c>
      <c r="K622">
        <v>1467954000</v>
      </c>
      <c r="L622" s="5">
        <f t="shared" si="37"/>
        <v>90.0390625</v>
      </c>
      <c r="M622">
        <v>1468299600</v>
      </c>
      <c r="N622" s="9">
        <f t="shared" si="38"/>
        <v>42559.208333333328</v>
      </c>
      <c r="O622" s="9">
        <f t="shared" si="39"/>
        <v>42563.208333333328</v>
      </c>
      <c r="P622" t="b">
        <v>0</v>
      </c>
      <c r="Q622" t="b">
        <v>0</v>
      </c>
      <c r="R622" t="s">
        <v>122</v>
      </c>
      <c r="S622" s="5" t="str" cm="1">
        <f t="array" ref="S622:T622">_xlfn.TEXTSPLIT(R622, "/")</f>
        <v>photography</v>
      </c>
      <c r="T622" s="5" t="str">
        <v>photography books</v>
      </c>
    </row>
    <row r="623" spans="1:20" ht="19.5" x14ac:dyDescent="0.4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 s="4">
        <f t="shared" si="36"/>
        <v>619.80078125</v>
      </c>
      <c r="K623">
        <v>1473742800</v>
      </c>
      <c r="L623" s="5">
        <f t="shared" si="37"/>
        <v>74.006063432835816</v>
      </c>
      <c r="M623">
        <v>1474174800</v>
      </c>
      <c r="N623" s="9">
        <f t="shared" si="38"/>
        <v>42626.208333333328</v>
      </c>
      <c r="O623" s="9">
        <f t="shared" si="39"/>
        <v>42631.208333333328</v>
      </c>
      <c r="P623" t="b">
        <v>0</v>
      </c>
      <c r="Q623" t="b">
        <v>0</v>
      </c>
      <c r="R623" t="s">
        <v>33</v>
      </c>
      <c r="S623" s="5" t="str" cm="1">
        <f t="array" ref="S623:T623">_xlfn.TEXTSPLIT(R623, "/")</f>
        <v>theater</v>
      </c>
      <c r="T623" s="5" t="str">
        <v>plays</v>
      </c>
    </row>
    <row r="624" spans="1:20" ht="19.5" x14ac:dyDescent="0.4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 s="4">
        <f t="shared" si="36"/>
        <v>3.1301587301587301</v>
      </c>
      <c r="K624">
        <v>1523768400</v>
      </c>
      <c r="L624" s="5">
        <f t="shared" si="37"/>
        <v>92.4375</v>
      </c>
      <c r="M624">
        <v>1526014800</v>
      </c>
      <c r="N624" s="9">
        <f t="shared" si="38"/>
        <v>43205.208333333328</v>
      </c>
      <c r="O624" s="9">
        <f t="shared" si="39"/>
        <v>43231.208333333328</v>
      </c>
      <c r="P624" t="b">
        <v>0</v>
      </c>
      <c r="Q624" t="b">
        <v>0</v>
      </c>
      <c r="R624" t="s">
        <v>60</v>
      </c>
      <c r="S624" s="5" t="str" cm="1">
        <f t="array" ref="S624:T624">_xlfn.TEXTSPLIT(R624, "/")</f>
        <v>music</v>
      </c>
      <c r="T624" s="5" t="str">
        <v>indie rock</v>
      </c>
    </row>
    <row r="625" spans="1:20" ht="19.5" x14ac:dyDescent="0.4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 s="4">
        <f t="shared" si="36"/>
        <v>159.92152704135739</v>
      </c>
      <c r="K625">
        <v>1437022800</v>
      </c>
      <c r="L625" s="5">
        <f t="shared" si="37"/>
        <v>55.999257333828446</v>
      </c>
      <c r="M625">
        <v>1437454800</v>
      </c>
      <c r="N625" s="9">
        <f t="shared" si="38"/>
        <v>42201.208333333328</v>
      </c>
      <c r="O625" s="9">
        <f t="shared" si="39"/>
        <v>42206.208333333328</v>
      </c>
      <c r="P625" t="b">
        <v>0</v>
      </c>
      <c r="Q625" t="b">
        <v>0</v>
      </c>
      <c r="R625" t="s">
        <v>33</v>
      </c>
      <c r="S625" s="5" t="str" cm="1">
        <f t="array" ref="S625:T625">_xlfn.TEXTSPLIT(R625, "/")</f>
        <v>theater</v>
      </c>
      <c r="T625" s="5" t="str">
        <v>plays</v>
      </c>
    </row>
    <row r="626" spans="1:20" ht="19.5" x14ac:dyDescent="0.4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 s="4">
        <f t="shared" si="36"/>
        <v>279.39215686274508</v>
      </c>
      <c r="K626">
        <v>1422165600</v>
      </c>
      <c r="L626" s="5">
        <f t="shared" si="37"/>
        <v>32.983796296296298</v>
      </c>
      <c r="M626">
        <v>1422684000</v>
      </c>
      <c r="N626" s="9">
        <f t="shared" si="38"/>
        <v>42029.25</v>
      </c>
      <c r="O626" s="9">
        <f t="shared" si="39"/>
        <v>42035.25</v>
      </c>
      <c r="P626" t="b">
        <v>0</v>
      </c>
      <c r="Q626" t="b">
        <v>0</v>
      </c>
      <c r="R626" t="s">
        <v>122</v>
      </c>
      <c r="S626" s="5" t="str" cm="1">
        <f t="array" ref="S626:T626">_xlfn.TEXTSPLIT(R626, "/")</f>
        <v>photography</v>
      </c>
      <c r="T626" s="5" t="str">
        <v>photography books</v>
      </c>
    </row>
    <row r="627" spans="1:20" ht="33.75" x14ac:dyDescent="0.4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 s="4">
        <f t="shared" si="36"/>
        <v>77.373333333333335</v>
      </c>
      <c r="K627">
        <v>1580104800</v>
      </c>
      <c r="L627" s="5">
        <f t="shared" si="37"/>
        <v>93.596774193548384</v>
      </c>
      <c r="M627">
        <v>1581314400</v>
      </c>
      <c r="N627" s="9">
        <f t="shared" si="38"/>
        <v>43857.25</v>
      </c>
      <c r="O627" s="9">
        <f t="shared" si="39"/>
        <v>43871.25</v>
      </c>
      <c r="P627" t="b">
        <v>0</v>
      </c>
      <c r="Q627" t="b">
        <v>0</v>
      </c>
      <c r="R627" t="s">
        <v>33</v>
      </c>
      <c r="S627" s="5" t="str" cm="1">
        <f t="array" ref="S627:T627">_xlfn.TEXTSPLIT(R627, "/")</f>
        <v>theater</v>
      </c>
      <c r="T627" s="5" t="str">
        <v>plays</v>
      </c>
    </row>
    <row r="628" spans="1:20" ht="33.75" x14ac:dyDescent="0.4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 s="4">
        <f t="shared" si="36"/>
        <v>206.32812500000003</v>
      </c>
      <c r="K628">
        <v>1285650000</v>
      </c>
      <c r="L628" s="5">
        <f t="shared" si="37"/>
        <v>69.867724867724874</v>
      </c>
      <c r="M628">
        <v>1286427600</v>
      </c>
      <c r="N628" s="9">
        <f t="shared" si="38"/>
        <v>40449.208333333336</v>
      </c>
      <c r="O628" s="9">
        <f t="shared" si="39"/>
        <v>40458.208333333336</v>
      </c>
      <c r="P628" t="b">
        <v>0</v>
      </c>
      <c r="Q628" t="b">
        <v>1</v>
      </c>
      <c r="R628" t="s">
        <v>33</v>
      </c>
      <c r="S628" s="5" t="str" cm="1">
        <f t="array" ref="S628:T628">_xlfn.TEXTSPLIT(R628, "/")</f>
        <v>theater</v>
      </c>
      <c r="T628" s="5" t="str">
        <v>plays</v>
      </c>
    </row>
    <row r="629" spans="1:20" ht="19.5" x14ac:dyDescent="0.4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 s="4">
        <f t="shared" si="36"/>
        <v>694.25</v>
      </c>
      <c r="K629">
        <v>1276664400</v>
      </c>
      <c r="L629" s="5">
        <f t="shared" si="37"/>
        <v>72.129870129870127</v>
      </c>
      <c r="M629">
        <v>1278738000</v>
      </c>
      <c r="N629" s="9">
        <f t="shared" si="38"/>
        <v>40345.208333333336</v>
      </c>
      <c r="O629" s="9">
        <f t="shared" si="39"/>
        <v>40369.208333333336</v>
      </c>
      <c r="P629" t="b">
        <v>1</v>
      </c>
      <c r="Q629" t="b">
        <v>0</v>
      </c>
      <c r="R629" t="s">
        <v>17</v>
      </c>
      <c r="S629" s="5" t="str" cm="1">
        <f t="array" ref="S629:T629">_xlfn.TEXTSPLIT(R629, "/")</f>
        <v>food</v>
      </c>
      <c r="T629" s="5" t="str">
        <v>food trucks</v>
      </c>
    </row>
    <row r="630" spans="1:20" ht="19.5" x14ac:dyDescent="0.4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 s="4">
        <f t="shared" si="36"/>
        <v>151.78947368421052</v>
      </c>
      <c r="K630">
        <v>1286168400</v>
      </c>
      <c r="L630" s="5">
        <f t="shared" si="37"/>
        <v>30.041666666666668</v>
      </c>
      <c r="M630">
        <v>1286427600</v>
      </c>
      <c r="N630" s="9">
        <f t="shared" si="38"/>
        <v>40455.208333333336</v>
      </c>
      <c r="O630" s="9">
        <f t="shared" si="39"/>
        <v>40458.208333333336</v>
      </c>
      <c r="P630" t="b">
        <v>0</v>
      </c>
      <c r="Q630" t="b">
        <v>0</v>
      </c>
      <c r="R630" t="s">
        <v>60</v>
      </c>
      <c r="S630" s="5" t="str" cm="1">
        <f t="array" ref="S630:T630">_xlfn.TEXTSPLIT(R630, "/")</f>
        <v>music</v>
      </c>
      <c r="T630" s="5" t="str">
        <v>indie rock</v>
      </c>
    </row>
    <row r="631" spans="1:20" ht="19.5" x14ac:dyDescent="0.4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 s="4">
        <f t="shared" si="36"/>
        <v>64.58207217694995</v>
      </c>
      <c r="K631">
        <v>1467781200</v>
      </c>
      <c r="L631" s="5">
        <f t="shared" si="37"/>
        <v>73.968000000000004</v>
      </c>
      <c r="M631">
        <v>1467954000</v>
      </c>
      <c r="N631" s="9">
        <f t="shared" si="38"/>
        <v>42557.208333333328</v>
      </c>
      <c r="O631" s="9">
        <f t="shared" si="39"/>
        <v>42559.208333333328</v>
      </c>
      <c r="P631" t="b">
        <v>0</v>
      </c>
      <c r="Q631" t="b">
        <v>1</v>
      </c>
      <c r="R631" t="s">
        <v>33</v>
      </c>
      <c r="S631" s="5" t="str" cm="1">
        <f t="array" ref="S631:T631">_xlfn.TEXTSPLIT(R631, "/")</f>
        <v>theater</v>
      </c>
      <c r="T631" s="5" t="str">
        <v>plays</v>
      </c>
    </row>
    <row r="632" spans="1:20" ht="19.5" x14ac:dyDescent="0.4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 s="4">
        <f t="shared" si="36"/>
        <v>62.873684210526314</v>
      </c>
      <c r="K632">
        <v>1556686800</v>
      </c>
      <c r="L632" s="5">
        <f t="shared" si="37"/>
        <v>68.65517241379311</v>
      </c>
      <c r="M632">
        <v>1557637200</v>
      </c>
      <c r="N632" s="9">
        <f t="shared" si="38"/>
        <v>43586.208333333328</v>
      </c>
      <c r="O632" s="9">
        <f t="shared" si="39"/>
        <v>43597.208333333328</v>
      </c>
      <c r="P632" t="b">
        <v>0</v>
      </c>
      <c r="Q632" t="b">
        <v>1</v>
      </c>
      <c r="R632" t="s">
        <v>33</v>
      </c>
      <c r="S632" s="5" t="str" cm="1">
        <f t="array" ref="S632:T632">_xlfn.TEXTSPLIT(R632, "/")</f>
        <v>theater</v>
      </c>
      <c r="T632" s="5" t="str">
        <v>plays</v>
      </c>
    </row>
    <row r="633" spans="1:20" ht="19.5" x14ac:dyDescent="0.4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 s="4">
        <f t="shared" si="36"/>
        <v>310.39864864864865</v>
      </c>
      <c r="K633">
        <v>1553576400</v>
      </c>
      <c r="L633" s="5">
        <f t="shared" si="37"/>
        <v>59.992164544564154</v>
      </c>
      <c r="M633">
        <v>1553922000</v>
      </c>
      <c r="N633" s="9">
        <f t="shared" si="38"/>
        <v>43550.208333333328</v>
      </c>
      <c r="O633" s="9">
        <f t="shared" si="39"/>
        <v>43554.208333333328</v>
      </c>
      <c r="P633" t="b">
        <v>0</v>
      </c>
      <c r="Q633" t="b">
        <v>0</v>
      </c>
      <c r="R633" t="s">
        <v>33</v>
      </c>
      <c r="S633" s="5" t="str" cm="1">
        <f t="array" ref="S633:T633">_xlfn.TEXTSPLIT(R633, "/")</f>
        <v>theater</v>
      </c>
      <c r="T633" s="5" t="str">
        <v>plays</v>
      </c>
    </row>
    <row r="634" spans="1:20" ht="19.5" x14ac:dyDescent="0.4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 s="4">
        <f t="shared" si="36"/>
        <v>42.859916782246884</v>
      </c>
      <c r="K634">
        <v>1414904400</v>
      </c>
      <c r="L634" s="5">
        <f t="shared" si="37"/>
        <v>111.15827338129496</v>
      </c>
      <c r="M634">
        <v>1416463200</v>
      </c>
      <c r="N634" s="9">
        <f t="shared" si="38"/>
        <v>41945.208333333336</v>
      </c>
      <c r="O634" s="9">
        <f t="shared" si="39"/>
        <v>41963.25</v>
      </c>
      <c r="P634" t="b">
        <v>0</v>
      </c>
      <c r="Q634" t="b">
        <v>0</v>
      </c>
      <c r="R634" t="s">
        <v>33</v>
      </c>
      <c r="S634" s="5" t="str" cm="1">
        <f t="array" ref="S634:T634">_xlfn.TEXTSPLIT(R634, "/")</f>
        <v>theater</v>
      </c>
      <c r="T634" s="5" t="str">
        <v>plays</v>
      </c>
    </row>
    <row r="635" spans="1:20" ht="19.5" x14ac:dyDescent="0.4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 s="4">
        <f t="shared" si="36"/>
        <v>83.119402985074629</v>
      </c>
      <c r="K635">
        <v>1446876000</v>
      </c>
      <c r="L635" s="5">
        <f t="shared" si="37"/>
        <v>53.038095238095238</v>
      </c>
      <c r="M635">
        <v>1447221600</v>
      </c>
      <c r="N635" s="9">
        <f t="shared" si="38"/>
        <v>42315.25</v>
      </c>
      <c r="O635" s="9">
        <f t="shared" si="39"/>
        <v>42319.25</v>
      </c>
      <c r="P635" t="b">
        <v>0</v>
      </c>
      <c r="Q635" t="b">
        <v>0</v>
      </c>
      <c r="R635" t="s">
        <v>71</v>
      </c>
      <c r="S635" s="5" t="str" cm="1">
        <f t="array" ref="S635:T635">_xlfn.TEXTSPLIT(R635, "/")</f>
        <v>film &amp; video</v>
      </c>
      <c r="T635" s="5" t="str">
        <v>animation</v>
      </c>
    </row>
    <row r="636" spans="1:20" ht="19.5" x14ac:dyDescent="0.4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 s="4">
        <f t="shared" si="36"/>
        <v>78.531302876480552</v>
      </c>
      <c r="K636">
        <v>1490418000</v>
      </c>
      <c r="L636" s="5">
        <f t="shared" si="37"/>
        <v>55.985524728588658</v>
      </c>
      <c r="M636">
        <v>1491627600</v>
      </c>
      <c r="N636" s="9">
        <f t="shared" si="38"/>
        <v>42819.208333333328</v>
      </c>
      <c r="O636" s="9">
        <f t="shared" si="39"/>
        <v>42833.208333333328</v>
      </c>
      <c r="P636" t="b">
        <v>0</v>
      </c>
      <c r="Q636" t="b">
        <v>0</v>
      </c>
      <c r="R636" t="s">
        <v>269</v>
      </c>
      <c r="S636" s="5" t="str" cm="1">
        <f t="array" ref="S636:T636">_xlfn.TEXTSPLIT(R636, "/")</f>
        <v>film &amp; video</v>
      </c>
      <c r="T636" s="5" t="str">
        <v>television</v>
      </c>
    </row>
    <row r="637" spans="1:20" ht="19.5" x14ac:dyDescent="0.4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 s="4">
        <f t="shared" si="36"/>
        <v>114.09352517985612</v>
      </c>
      <c r="K637">
        <v>1360389600</v>
      </c>
      <c r="L637" s="5">
        <f t="shared" si="37"/>
        <v>69.986760812003524</v>
      </c>
      <c r="M637">
        <v>1363150800</v>
      </c>
      <c r="N637" s="9">
        <f t="shared" si="38"/>
        <v>41314.25</v>
      </c>
      <c r="O637" s="9">
        <f t="shared" si="39"/>
        <v>41346.208333333336</v>
      </c>
      <c r="P637" t="b">
        <v>0</v>
      </c>
      <c r="Q637" t="b">
        <v>0</v>
      </c>
      <c r="R637" t="s">
        <v>269</v>
      </c>
      <c r="S637" s="5" t="str" cm="1">
        <f t="array" ref="S637:T637">_xlfn.TEXTSPLIT(R637, "/")</f>
        <v>film &amp; video</v>
      </c>
      <c r="T637" s="5" t="str">
        <v>television</v>
      </c>
    </row>
    <row r="638" spans="1:20" ht="19.5" x14ac:dyDescent="0.4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 s="4">
        <f t="shared" si="36"/>
        <v>64.537683358624179</v>
      </c>
      <c r="K638">
        <v>1326866400</v>
      </c>
      <c r="L638" s="5">
        <f t="shared" si="37"/>
        <v>48.998079877112133</v>
      </c>
      <c r="M638">
        <v>1330754400</v>
      </c>
      <c r="N638" s="9">
        <f t="shared" si="38"/>
        <v>40926.25</v>
      </c>
      <c r="O638" s="9">
        <f t="shared" si="39"/>
        <v>40971.25</v>
      </c>
      <c r="P638" t="b">
        <v>0</v>
      </c>
      <c r="Q638" t="b">
        <v>1</v>
      </c>
      <c r="R638" t="s">
        <v>71</v>
      </c>
      <c r="S638" s="5" t="str" cm="1">
        <f t="array" ref="S638:T638">_xlfn.TEXTSPLIT(R638, "/")</f>
        <v>film &amp; video</v>
      </c>
      <c r="T638" s="5" t="str">
        <v>animation</v>
      </c>
    </row>
    <row r="639" spans="1:20" ht="19.5" x14ac:dyDescent="0.4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 s="4">
        <f t="shared" si="36"/>
        <v>79.411764705882348</v>
      </c>
      <c r="K639">
        <v>1479103200</v>
      </c>
      <c r="L639" s="5">
        <f t="shared" si="37"/>
        <v>103.84615384615384</v>
      </c>
      <c r="M639">
        <v>1479794400</v>
      </c>
      <c r="N639" s="9">
        <f t="shared" si="38"/>
        <v>42688.25</v>
      </c>
      <c r="O639" s="9">
        <f t="shared" si="39"/>
        <v>42696.25</v>
      </c>
      <c r="P639" t="b">
        <v>0</v>
      </c>
      <c r="Q639" t="b">
        <v>0</v>
      </c>
      <c r="R639" t="s">
        <v>33</v>
      </c>
      <c r="S639" s="5" t="str" cm="1">
        <f t="array" ref="S639:T639">_xlfn.TEXTSPLIT(R639, "/")</f>
        <v>theater</v>
      </c>
      <c r="T639" s="5" t="str">
        <v>plays</v>
      </c>
    </row>
    <row r="640" spans="1:20" ht="19.5" x14ac:dyDescent="0.4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 s="4">
        <f t="shared" si="36"/>
        <v>11.419117647058824</v>
      </c>
      <c r="K640">
        <v>1280206800</v>
      </c>
      <c r="L640" s="5">
        <f t="shared" si="37"/>
        <v>99.127659574468083</v>
      </c>
      <c r="M640">
        <v>1281243600</v>
      </c>
      <c r="N640" s="9">
        <f t="shared" si="38"/>
        <v>40386.208333333336</v>
      </c>
      <c r="O640" s="9">
        <f t="shared" si="39"/>
        <v>40398.208333333336</v>
      </c>
      <c r="P640" t="b">
        <v>0</v>
      </c>
      <c r="Q640" t="b">
        <v>1</v>
      </c>
      <c r="R640" t="s">
        <v>33</v>
      </c>
      <c r="S640" s="5" t="str" cm="1">
        <f t="array" ref="S640:T640">_xlfn.TEXTSPLIT(R640, "/")</f>
        <v>theater</v>
      </c>
      <c r="T640" s="5" t="str">
        <v>plays</v>
      </c>
    </row>
    <row r="641" spans="1:20" ht="19.5" x14ac:dyDescent="0.4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 s="4">
        <f t="shared" si="36"/>
        <v>56.186046511627907</v>
      </c>
      <c r="K641">
        <v>1532754000</v>
      </c>
      <c r="L641" s="5">
        <f t="shared" si="37"/>
        <v>107.37777777777778</v>
      </c>
      <c r="M641">
        <v>1532754000</v>
      </c>
      <c r="N641" s="9">
        <f t="shared" si="38"/>
        <v>43309.208333333328</v>
      </c>
      <c r="O641" s="9">
        <f t="shared" si="39"/>
        <v>43309.208333333328</v>
      </c>
      <c r="P641" t="b">
        <v>0</v>
      </c>
      <c r="Q641" t="b">
        <v>1</v>
      </c>
      <c r="R641" t="s">
        <v>53</v>
      </c>
      <c r="S641" s="5" t="str" cm="1">
        <f t="array" ref="S641:T641">_xlfn.TEXTSPLIT(R641, "/")</f>
        <v>film &amp; video</v>
      </c>
      <c r="T641" s="5" t="str">
        <v>drama</v>
      </c>
    </row>
    <row r="642" spans="1:20" ht="19.5" x14ac:dyDescent="0.4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 s="4">
        <f t="shared" si="36"/>
        <v>16.501669449081803</v>
      </c>
      <c r="K642">
        <v>1453096800</v>
      </c>
      <c r="L642" s="5">
        <f t="shared" si="37"/>
        <v>76.922178988326849</v>
      </c>
      <c r="M642">
        <v>1453356000</v>
      </c>
      <c r="N642" s="9">
        <f t="shared" si="38"/>
        <v>42387.25</v>
      </c>
      <c r="O642" s="9">
        <f t="shared" si="39"/>
        <v>42390.25</v>
      </c>
      <c r="P642" t="b">
        <v>0</v>
      </c>
      <c r="Q642" t="b">
        <v>0</v>
      </c>
      <c r="R642" t="s">
        <v>33</v>
      </c>
      <c r="S642" s="5" t="str" cm="1">
        <f t="array" ref="S642:T642">_xlfn.TEXTSPLIT(R642, "/")</f>
        <v>theater</v>
      </c>
      <c r="T642" s="5" t="str">
        <v>plays</v>
      </c>
    </row>
    <row r="643" spans="1:20" ht="33.75" x14ac:dyDescent="0.4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 s="4">
        <f t="shared" ref="J643:J706" si="40">(E643/D643*100)</f>
        <v>119.96808510638297</v>
      </c>
      <c r="K643">
        <v>1487570400</v>
      </c>
      <c r="L643" s="5">
        <f t="shared" ref="L643:L706" si="41">E643/G643</f>
        <v>58.128865979381445</v>
      </c>
      <c r="M643">
        <v>1489986000</v>
      </c>
      <c r="N643" s="9">
        <f t="shared" ref="N643:N706" si="42">(((K643/60)/60)/24)+DATE(1970,1,1)</f>
        <v>42786.25</v>
      </c>
      <c r="O643" s="9">
        <f t="shared" ref="O643:O706" si="43">(((M643/60)/60)/24)+DATE(1970,1,1)</f>
        <v>42814.208333333328</v>
      </c>
      <c r="P643" t="b">
        <v>0</v>
      </c>
      <c r="Q643" t="b">
        <v>0</v>
      </c>
      <c r="R643" t="s">
        <v>33</v>
      </c>
      <c r="S643" s="5" t="str" cm="1">
        <f t="array" ref="S643:T643">_xlfn.TEXTSPLIT(R643, "/")</f>
        <v>theater</v>
      </c>
      <c r="T643" s="5" t="str">
        <v>plays</v>
      </c>
    </row>
    <row r="644" spans="1:20" ht="19.5" x14ac:dyDescent="0.4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 s="4">
        <f t="shared" si="40"/>
        <v>145.45652173913044</v>
      </c>
      <c r="K644">
        <v>1545026400</v>
      </c>
      <c r="L644" s="5">
        <f t="shared" si="41"/>
        <v>103.73643410852713</v>
      </c>
      <c r="M644">
        <v>1545804000</v>
      </c>
      <c r="N644" s="9">
        <f t="shared" si="42"/>
        <v>43451.25</v>
      </c>
      <c r="O644" s="9">
        <f t="shared" si="43"/>
        <v>43460.25</v>
      </c>
      <c r="P644" t="b">
        <v>0</v>
      </c>
      <c r="Q644" t="b">
        <v>0</v>
      </c>
      <c r="R644" t="s">
        <v>65</v>
      </c>
      <c r="S644" s="5" t="str" cm="1">
        <f t="array" ref="S644:T644">_xlfn.TEXTSPLIT(R644, "/")</f>
        <v>technology</v>
      </c>
      <c r="T644" s="5" t="str">
        <v>wearables</v>
      </c>
    </row>
    <row r="645" spans="1:20" ht="19.5" x14ac:dyDescent="0.4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 s="4">
        <f t="shared" si="40"/>
        <v>221.38255033557047</v>
      </c>
      <c r="K645">
        <v>1488348000</v>
      </c>
      <c r="L645" s="5">
        <f t="shared" si="41"/>
        <v>87.962666666666664</v>
      </c>
      <c r="M645">
        <v>1489899600</v>
      </c>
      <c r="N645" s="9">
        <f t="shared" si="42"/>
        <v>42795.25</v>
      </c>
      <c r="O645" s="9">
        <f t="shared" si="43"/>
        <v>42813.208333333328</v>
      </c>
      <c r="P645" t="b">
        <v>0</v>
      </c>
      <c r="Q645" t="b">
        <v>0</v>
      </c>
      <c r="R645" t="s">
        <v>33</v>
      </c>
      <c r="S645" s="5" t="str" cm="1">
        <f t="array" ref="S645:T645">_xlfn.TEXTSPLIT(R645, "/")</f>
        <v>theater</v>
      </c>
      <c r="T645" s="5" t="str">
        <v>plays</v>
      </c>
    </row>
    <row r="646" spans="1:20" ht="19.5" x14ac:dyDescent="0.4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 s="4">
        <f t="shared" si="40"/>
        <v>48.396694214876035</v>
      </c>
      <c r="K646">
        <v>1545112800</v>
      </c>
      <c r="L646" s="5">
        <f t="shared" si="41"/>
        <v>28</v>
      </c>
      <c r="M646">
        <v>1546495200</v>
      </c>
      <c r="N646" s="9">
        <f t="shared" si="42"/>
        <v>43452.25</v>
      </c>
      <c r="O646" s="9">
        <f t="shared" si="43"/>
        <v>43468.25</v>
      </c>
      <c r="P646" t="b">
        <v>0</v>
      </c>
      <c r="Q646" t="b">
        <v>0</v>
      </c>
      <c r="R646" t="s">
        <v>33</v>
      </c>
      <c r="S646" s="5" t="str" cm="1">
        <f t="array" ref="S646:T646">_xlfn.TEXTSPLIT(R646, "/")</f>
        <v>theater</v>
      </c>
      <c r="T646" s="5" t="str">
        <v>plays</v>
      </c>
    </row>
    <row r="647" spans="1:20" ht="19.5" x14ac:dyDescent="0.4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 s="4">
        <f t="shared" si="40"/>
        <v>92.911504424778755</v>
      </c>
      <c r="K647">
        <v>1537938000</v>
      </c>
      <c r="L647" s="5">
        <f t="shared" si="41"/>
        <v>37.999361294443261</v>
      </c>
      <c r="M647">
        <v>1539752400</v>
      </c>
      <c r="N647" s="9">
        <f t="shared" si="42"/>
        <v>43369.208333333328</v>
      </c>
      <c r="O647" s="9">
        <f t="shared" si="43"/>
        <v>43390.208333333328</v>
      </c>
      <c r="P647" t="b">
        <v>0</v>
      </c>
      <c r="Q647" t="b">
        <v>1</v>
      </c>
      <c r="R647" t="s">
        <v>23</v>
      </c>
      <c r="S647" s="5" t="str" cm="1">
        <f t="array" ref="S647:T647">_xlfn.TEXTSPLIT(R647, "/")</f>
        <v>music</v>
      </c>
      <c r="T647" s="5" t="str">
        <v>rock</v>
      </c>
    </row>
    <row r="648" spans="1:20" ht="19.5" x14ac:dyDescent="0.4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 s="4">
        <f t="shared" si="40"/>
        <v>88.599797365754824</v>
      </c>
      <c r="K648">
        <v>1363150800</v>
      </c>
      <c r="L648" s="5">
        <f t="shared" si="41"/>
        <v>29.999313893653515</v>
      </c>
      <c r="M648">
        <v>1364101200</v>
      </c>
      <c r="N648" s="9">
        <f t="shared" si="42"/>
        <v>41346.208333333336</v>
      </c>
      <c r="O648" s="9">
        <f t="shared" si="43"/>
        <v>41357.208333333336</v>
      </c>
      <c r="P648" t="b">
        <v>0</v>
      </c>
      <c r="Q648" t="b">
        <v>0</v>
      </c>
      <c r="R648" t="s">
        <v>89</v>
      </c>
      <c r="S648" s="5" t="str" cm="1">
        <f t="array" ref="S648:T648">_xlfn.TEXTSPLIT(R648, "/")</f>
        <v>games</v>
      </c>
      <c r="T648" s="5" t="str">
        <v>video games</v>
      </c>
    </row>
    <row r="649" spans="1:20" ht="19.5" x14ac:dyDescent="0.4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 s="4">
        <f t="shared" si="40"/>
        <v>41.4</v>
      </c>
      <c r="K649">
        <v>1523250000</v>
      </c>
      <c r="L649" s="5">
        <f t="shared" si="41"/>
        <v>103.5</v>
      </c>
      <c r="M649">
        <v>1525323600</v>
      </c>
      <c r="N649" s="9">
        <f t="shared" si="42"/>
        <v>43199.208333333328</v>
      </c>
      <c r="O649" s="9">
        <f t="shared" si="43"/>
        <v>43223.208333333328</v>
      </c>
      <c r="P649" t="b">
        <v>0</v>
      </c>
      <c r="Q649" t="b">
        <v>0</v>
      </c>
      <c r="R649" t="s">
        <v>206</v>
      </c>
      <c r="S649" s="5" t="str" cm="1">
        <f t="array" ref="S649:T649">_xlfn.TEXTSPLIT(R649, "/")</f>
        <v>publishing</v>
      </c>
      <c r="T649" s="5" t="str">
        <v>translations</v>
      </c>
    </row>
    <row r="650" spans="1:20" ht="19.5" x14ac:dyDescent="0.4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 s="4">
        <f t="shared" si="40"/>
        <v>63.056795131845846</v>
      </c>
      <c r="K650">
        <v>1499317200</v>
      </c>
      <c r="L650" s="5">
        <f t="shared" si="41"/>
        <v>85.994467496542185</v>
      </c>
      <c r="M650">
        <v>1500872400</v>
      </c>
      <c r="N650" s="9">
        <f t="shared" si="42"/>
        <v>42922.208333333328</v>
      </c>
      <c r="O650" s="9">
        <f t="shared" si="43"/>
        <v>42940.208333333328</v>
      </c>
      <c r="P650" t="b">
        <v>1</v>
      </c>
      <c r="Q650" t="b">
        <v>0</v>
      </c>
      <c r="R650" t="s">
        <v>17</v>
      </c>
      <c r="S650" s="5" t="str" cm="1">
        <f t="array" ref="S650:T650">_xlfn.TEXTSPLIT(R650, "/")</f>
        <v>food</v>
      </c>
      <c r="T650" s="5" t="str">
        <v>food trucks</v>
      </c>
    </row>
    <row r="651" spans="1:20" ht="19.5" x14ac:dyDescent="0.4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 s="4">
        <f t="shared" si="40"/>
        <v>48.482333607230892</v>
      </c>
      <c r="K651">
        <v>1287550800</v>
      </c>
      <c r="L651" s="5">
        <f t="shared" si="41"/>
        <v>98.011627906976742</v>
      </c>
      <c r="M651">
        <v>1288501200</v>
      </c>
      <c r="N651" s="9">
        <f t="shared" si="42"/>
        <v>40471.208333333336</v>
      </c>
      <c r="O651" s="9">
        <f t="shared" si="43"/>
        <v>40482.208333333336</v>
      </c>
      <c r="P651" t="b">
        <v>1</v>
      </c>
      <c r="Q651" t="b">
        <v>1</v>
      </c>
      <c r="R651" t="s">
        <v>33</v>
      </c>
      <c r="S651" s="5" t="str" cm="1">
        <f t="array" ref="S651:T651">_xlfn.TEXTSPLIT(R651, "/")</f>
        <v>theater</v>
      </c>
      <c r="T651" s="5" t="str">
        <v>plays</v>
      </c>
    </row>
    <row r="652" spans="1:20" ht="19.5" x14ac:dyDescent="0.4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 s="4">
        <f t="shared" si="40"/>
        <v>2</v>
      </c>
      <c r="K652">
        <v>1404795600</v>
      </c>
      <c r="L652" s="5">
        <f t="shared" si="41"/>
        <v>2</v>
      </c>
      <c r="M652">
        <v>1407128400</v>
      </c>
      <c r="N652" s="9">
        <f t="shared" si="42"/>
        <v>41828.208333333336</v>
      </c>
      <c r="O652" s="9">
        <f t="shared" si="43"/>
        <v>41855.208333333336</v>
      </c>
      <c r="P652" t="b">
        <v>0</v>
      </c>
      <c r="Q652" t="b">
        <v>0</v>
      </c>
      <c r="R652" t="s">
        <v>159</v>
      </c>
      <c r="S652" s="5" t="str" cm="1">
        <f t="array" ref="S652:T652">_xlfn.TEXTSPLIT(R652, "/")</f>
        <v>music</v>
      </c>
      <c r="T652" s="5" t="str">
        <v>jazz</v>
      </c>
    </row>
    <row r="653" spans="1:20" ht="19.5" x14ac:dyDescent="0.4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 s="4">
        <f t="shared" si="40"/>
        <v>88.47941026944585</v>
      </c>
      <c r="K653">
        <v>1393048800</v>
      </c>
      <c r="L653" s="5">
        <f t="shared" si="41"/>
        <v>44.994570837642193</v>
      </c>
      <c r="M653">
        <v>1394344800</v>
      </c>
      <c r="N653" s="9">
        <f t="shared" si="42"/>
        <v>41692.25</v>
      </c>
      <c r="O653" s="9">
        <f t="shared" si="43"/>
        <v>41707.25</v>
      </c>
      <c r="P653" t="b">
        <v>0</v>
      </c>
      <c r="Q653" t="b">
        <v>0</v>
      </c>
      <c r="R653" t="s">
        <v>100</v>
      </c>
      <c r="S653" s="5" t="str" cm="1">
        <f t="array" ref="S653:T653">_xlfn.TEXTSPLIT(R653, "/")</f>
        <v>film &amp; video</v>
      </c>
      <c r="T653" s="5" t="str">
        <v>shorts</v>
      </c>
    </row>
    <row r="654" spans="1:20" ht="19.5" x14ac:dyDescent="0.4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 s="4">
        <f t="shared" si="40"/>
        <v>126.84</v>
      </c>
      <c r="K654">
        <v>1470373200</v>
      </c>
      <c r="L654" s="5">
        <f t="shared" si="41"/>
        <v>31.012224938875306</v>
      </c>
      <c r="M654">
        <v>1474088400</v>
      </c>
      <c r="N654" s="9">
        <f t="shared" si="42"/>
        <v>42587.208333333328</v>
      </c>
      <c r="O654" s="9">
        <f t="shared" si="43"/>
        <v>42630.208333333328</v>
      </c>
      <c r="P654" t="b">
        <v>0</v>
      </c>
      <c r="Q654" t="b">
        <v>0</v>
      </c>
      <c r="R654" t="s">
        <v>28</v>
      </c>
      <c r="S654" s="5" t="str" cm="1">
        <f t="array" ref="S654:T654">_xlfn.TEXTSPLIT(R654, "/")</f>
        <v>technology</v>
      </c>
      <c r="T654" s="5" t="str">
        <v>web</v>
      </c>
    </row>
    <row r="655" spans="1:20" ht="19.5" x14ac:dyDescent="0.4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 s="4">
        <f t="shared" si="40"/>
        <v>2338.833333333333</v>
      </c>
      <c r="K655">
        <v>1460091600</v>
      </c>
      <c r="L655" s="5">
        <f t="shared" si="41"/>
        <v>59.970085470085472</v>
      </c>
      <c r="M655">
        <v>1460264400</v>
      </c>
      <c r="N655" s="9">
        <f t="shared" si="42"/>
        <v>42468.208333333328</v>
      </c>
      <c r="O655" s="9">
        <f t="shared" si="43"/>
        <v>42470.208333333328</v>
      </c>
      <c r="P655" t="b">
        <v>0</v>
      </c>
      <c r="Q655" t="b">
        <v>0</v>
      </c>
      <c r="R655" t="s">
        <v>28</v>
      </c>
      <c r="S655" s="5" t="str" cm="1">
        <f t="array" ref="S655:T655">_xlfn.TEXTSPLIT(R655, "/")</f>
        <v>technology</v>
      </c>
      <c r="T655" s="5" t="str">
        <v>web</v>
      </c>
    </row>
    <row r="656" spans="1:20" ht="19.5" x14ac:dyDescent="0.4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 s="4">
        <f t="shared" si="40"/>
        <v>508.38857142857148</v>
      </c>
      <c r="K656">
        <v>1440392400</v>
      </c>
      <c r="L656" s="5">
        <f t="shared" si="41"/>
        <v>58.9973474801061</v>
      </c>
      <c r="M656">
        <v>1440824400</v>
      </c>
      <c r="N656" s="9">
        <f t="shared" si="42"/>
        <v>42240.208333333328</v>
      </c>
      <c r="O656" s="9">
        <f t="shared" si="43"/>
        <v>42245.208333333328</v>
      </c>
      <c r="P656" t="b">
        <v>0</v>
      </c>
      <c r="Q656" t="b">
        <v>0</v>
      </c>
      <c r="R656" t="s">
        <v>148</v>
      </c>
      <c r="S656" s="5" t="str" cm="1">
        <f t="array" ref="S656:T656">_xlfn.TEXTSPLIT(R656, "/")</f>
        <v>music</v>
      </c>
      <c r="T656" s="5" t="str">
        <v>metal</v>
      </c>
    </row>
    <row r="657" spans="1:20" ht="19.5" x14ac:dyDescent="0.4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 s="4">
        <f t="shared" si="40"/>
        <v>191.47826086956522</v>
      </c>
      <c r="K657">
        <v>1488434400</v>
      </c>
      <c r="L657" s="5">
        <f t="shared" si="41"/>
        <v>50.045454545454547</v>
      </c>
      <c r="M657">
        <v>1489554000</v>
      </c>
      <c r="N657" s="9">
        <f t="shared" si="42"/>
        <v>42796.25</v>
      </c>
      <c r="O657" s="9">
        <f t="shared" si="43"/>
        <v>42809.208333333328</v>
      </c>
      <c r="P657" t="b">
        <v>1</v>
      </c>
      <c r="Q657" t="b">
        <v>0</v>
      </c>
      <c r="R657" t="s">
        <v>122</v>
      </c>
      <c r="S657" s="5" t="str" cm="1">
        <f t="array" ref="S657:T657">_xlfn.TEXTSPLIT(R657, "/")</f>
        <v>photography</v>
      </c>
      <c r="T657" s="5" t="str">
        <v>photography books</v>
      </c>
    </row>
    <row r="658" spans="1:20" ht="33.75" x14ac:dyDescent="0.4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 s="4">
        <f t="shared" si="40"/>
        <v>42.127533783783782</v>
      </c>
      <c r="K658">
        <v>1514440800</v>
      </c>
      <c r="L658" s="5">
        <f t="shared" si="41"/>
        <v>98.966269841269835</v>
      </c>
      <c r="M658">
        <v>1514872800</v>
      </c>
      <c r="N658" s="9">
        <f t="shared" si="42"/>
        <v>43097.25</v>
      </c>
      <c r="O658" s="9">
        <f t="shared" si="43"/>
        <v>43102.25</v>
      </c>
      <c r="P658" t="b">
        <v>0</v>
      </c>
      <c r="Q658" t="b">
        <v>0</v>
      </c>
      <c r="R658" t="s">
        <v>17</v>
      </c>
      <c r="S658" s="5" t="str" cm="1">
        <f t="array" ref="S658:T658">_xlfn.TEXTSPLIT(R658, "/")</f>
        <v>food</v>
      </c>
      <c r="T658" s="5" t="str">
        <v>food trucks</v>
      </c>
    </row>
    <row r="659" spans="1:20" ht="19.5" x14ac:dyDescent="0.4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 s="4">
        <f t="shared" si="40"/>
        <v>8.24</v>
      </c>
      <c r="K659">
        <v>1514354400</v>
      </c>
      <c r="L659" s="5">
        <f t="shared" si="41"/>
        <v>58.857142857142854</v>
      </c>
      <c r="M659">
        <v>1515736800</v>
      </c>
      <c r="N659" s="9">
        <f t="shared" si="42"/>
        <v>43096.25</v>
      </c>
      <c r="O659" s="9">
        <f t="shared" si="43"/>
        <v>43112.25</v>
      </c>
      <c r="P659" t="b">
        <v>0</v>
      </c>
      <c r="Q659" t="b">
        <v>0</v>
      </c>
      <c r="R659" t="s">
        <v>474</v>
      </c>
      <c r="S659" s="5" t="str" cm="1">
        <f t="array" ref="S659:T659">_xlfn.TEXTSPLIT(R659, "/")</f>
        <v>film &amp; video</v>
      </c>
      <c r="T659" s="5" t="str">
        <v>science fiction</v>
      </c>
    </row>
    <row r="660" spans="1:20" ht="19.5" x14ac:dyDescent="0.4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 s="4">
        <f t="shared" si="40"/>
        <v>60.064638783269963</v>
      </c>
      <c r="K660">
        <v>1440910800</v>
      </c>
      <c r="L660" s="5">
        <f t="shared" si="41"/>
        <v>81.010256410256417</v>
      </c>
      <c r="M660">
        <v>1442898000</v>
      </c>
      <c r="N660" s="9">
        <f t="shared" si="42"/>
        <v>42246.208333333328</v>
      </c>
      <c r="O660" s="9">
        <f t="shared" si="43"/>
        <v>42269.208333333328</v>
      </c>
      <c r="P660" t="b">
        <v>0</v>
      </c>
      <c r="Q660" t="b">
        <v>0</v>
      </c>
      <c r="R660" t="s">
        <v>23</v>
      </c>
      <c r="S660" s="5" t="str" cm="1">
        <f t="array" ref="S660:T660">_xlfn.TEXTSPLIT(R660, "/")</f>
        <v>music</v>
      </c>
      <c r="T660" s="5" t="str">
        <v>rock</v>
      </c>
    </row>
    <row r="661" spans="1:20" ht="19.5" x14ac:dyDescent="0.4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 s="4">
        <f t="shared" si="40"/>
        <v>47.232808616404313</v>
      </c>
      <c r="K661">
        <v>1296108000</v>
      </c>
      <c r="L661" s="5">
        <f t="shared" si="41"/>
        <v>76.013333333333335</v>
      </c>
      <c r="M661">
        <v>1296194400</v>
      </c>
      <c r="N661" s="9">
        <f t="shared" si="42"/>
        <v>40570.25</v>
      </c>
      <c r="O661" s="9">
        <f t="shared" si="43"/>
        <v>40571.25</v>
      </c>
      <c r="P661" t="b">
        <v>0</v>
      </c>
      <c r="Q661" t="b">
        <v>0</v>
      </c>
      <c r="R661" t="s">
        <v>42</v>
      </c>
      <c r="S661" s="5" t="str" cm="1">
        <f t="array" ref="S661:T661">_xlfn.TEXTSPLIT(R661, "/")</f>
        <v>film &amp; video</v>
      </c>
      <c r="T661" s="5" t="str">
        <v>documentary</v>
      </c>
    </row>
    <row r="662" spans="1:20" ht="19.5" x14ac:dyDescent="0.4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 s="4">
        <f t="shared" si="40"/>
        <v>81.736263736263737</v>
      </c>
      <c r="K662">
        <v>1440133200</v>
      </c>
      <c r="L662" s="5">
        <f t="shared" si="41"/>
        <v>96.597402597402592</v>
      </c>
      <c r="M662">
        <v>1440910800</v>
      </c>
      <c r="N662" s="9">
        <f t="shared" si="42"/>
        <v>42237.208333333328</v>
      </c>
      <c r="O662" s="9">
        <f t="shared" si="43"/>
        <v>42246.208333333328</v>
      </c>
      <c r="P662" t="b">
        <v>1</v>
      </c>
      <c r="Q662" t="b">
        <v>0</v>
      </c>
      <c r="R662" t="s">
        <v>33</v>
      </c>
      <c r="S662" s="5" t="str" cm="1">
        <f t="array" ref="S662:T662">_xlfn.TEXTSPLIT(R662, "/")</f>
        <v>theater</v>
      </c>
      <c r="T662" s="5" t="str">
        <v>plays</v>
      </c>
    </row>
    <row r="663" spans="1:20" ht="19.5" x14ac:dyDescent="0.4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 s="4">
        <f t="shared" si="40"/>
        <v>54.187265917603</v>
      </c>
      <c r="K663">
        <v>1332910800</v>
      </c>
      <c r="L663" s="5">
        <f t="shared" si="41"/>
        <v>76.957446808510639</v>
      </c>
      <c r="M663">
        <v>1335502800</v>
      </c>
      <c r="N663" s="9">
        <f t="shared" si="42"/>
        <v>40996.208333333336</v>
      </c>
      <c r="O663" s="9">
        <f t="shared" si="43"/>
        <v>41026.208333333336</v>
      </c>
      <c r="P663" t="b">
        <v>0</v>
      </c>
      <c r="Q663" t="b">
        <v>0</v>
      </c>
      <c r="R663" t="s">
        <v>159</v>
      </c>
      <c r="S663" s="5" t="str" cm="1">
        <f t="array" ref="S663:T663">_xlfn.TEXTSPLIT(R663, "/")</f>
        <v>music</v>
      </c>
      <c r="T663" s="5" t="str">
        <v>jazz</v>
      </c>
    </row>
    <row r="664" spans="1:20" ht="19.5" x14ac:dyDescent="0.4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 s="4">
        <f t="shared" si="40"/>
        <v>97.868131868131869</v>
      </c>
      <c r="K664">
        <v>1544335200</v>
      </c>
      <c r="L664" s="5">
        <f t="shared" si="41"/>
        <v>67.984732824427482</v>
      </c>
      <c r="M664">
        <v>1544680800</v>
      </c>
      <c r="N664" s="9">
        <f t="shared" si="42"/>
        <v>43443.25</v>
      </c>
      <c r="O664" s="9">
        <f t="shared" si="43"/>
        <v>43447.25</v>
      </c>
      <c r="P664" t="b">
        <v>0</v>
      </c>
      <c r="Q664" t="b">
        <v>0</v>
      </c>
      <c r="R664" t="s">
        <v>33</v>
      </c>
      <c r="S664" s="5" t="str" cm="1">
        <f t="array" ref="S664:T664">_xlfn.TEXTSPLIT(R664, "/")</f>
        <v>theater</v>
      </c>
      <c r="T664" s="5" t="str">
        <v>plays</v>
      </c>
    </row>
    <row r="665" spans="1:20" ht="19.5" x14ac:dyDescent="0.4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 s="4">
        <f t="shared" si="40"/>
        <v>77.239999999999995</v>
      </c>
      <c r="K665">
        <v>1286427600</v>
      </c>
      <c r="L665" s="5">
        <f t="shared" si="41"/>
        <v>88.781609195402297</v>
      </c>
      <c r="M665">
        <v>1288414800</v>
      </c>
      <c r="N665" s="9">
        <f t="shared" si="42"/>
        <v>40458.208333333336</v>
      </c>
      <c r="O665" s="9">
        <f t="shared" si="43"/>
        <v>40481.208333333336</v>
      </c>
      <c r="P665" t="b">
        <v>0</v>
      </c>
      <c r="Q665" t="b">
        <v>0</v>
      </c>
      <c r="R665" t="s">
        <v>33</v>
      </c>
      <c r="S665" s="5" t="str" cm="1">
        <f t="array" ref="S665:T665">_xlfn.TEXTSPLIT(R665, "/")</f>
        <v>theater</v>
      </c>
      <c r="T665" s="5" t="str">
        <v>plays</v>
      </c>
    </row>
    <row r="666" spans="1:20" ht="19.5" x14ac:dyDescent="0.4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 s="4">
        <f t="shared" si="40"/>
        <v>33.464735516372798</v>
      </c>
      <c r="K666">
        <v>1329717600</v>
      </c>
      <c r="L666" s="5">
        <f t="shared" si="41"/>
        <v>24.99623706491063</v>
      </c>
      <c r="M666">
        <v>1330581600</v>
      </c>
      <c r="N666" s="9">
        <f t="shared" si="42"/>
        <v>40959.25</v>
      </c>
      <c r="O666" s="9">
        <f t="shared" si="43"/>
        <v>40969.25</v>
      </c>
      <c r="P666" t="b">
        <v>0</v>
      </c>
      <c r="Q666" t="b">
        <v>0</v>
      </c>
      <c r="R666" t="s">
        <v>159</v>
      </c>
      <c r="S666" s="5" t="str" cm="1">
        <f t="array" ref="S666:T666">_xlfn.TEXTSPLIT(R666, "/")</f>
        <v>music</v>
      </c>
      <c r="T666" s="5" t="str">
        <v>jazz</v>
      </c>
    </row>
    <row r="667" spans="1:20" ht="19.5" x14ac:dyDescent="0.4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 s="4">
        <f t="shared" si="40"/>
        <v>239.58823529411765</v>
      </c>
      <c r="K667">
        <v>1310187600</v>
      </c>
      <c r="L667" s="5">
        <f t="shared" si="41"/>
        <v>44.922794117647058</v>
      </c>
      <c r="M667">
        <v>1311397200</v>
      </c>
      <c r="N667" s="9">
        <f t="shared" si="42"/>
        <v>40733.208333333336</v>
      </c>
      <c r="O667" s="9">
        <f t="shared" si="43"/>
        <v>40747.208333333336</v>
      </c>
      <c r="P667" t="b">
        <v>0</v>
      </c>
      <c r="Q667" t="b">
        <v>1</v>
      </c>
      <c r="R667" t="s">
        <v>42</v>
      </c>
      <c r="S667" s="5" t="str" cm="1">
        <f t="array" ref="S667:T667">_xlfn.TEXTSPLIT(R667, "/")</f>
        <v>film &amp; video</v>
      </c>
      <c r="T667" s="5" t="str">
        <v>documentary</v>
      </c>
    </row>
    <row r="668" spans="1:20" ht="19.5" x14ac:dyDescent="0.4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 s="4">
        <f t="shared" si="40"/>
        <v>64.032258064516128</v>
      </c>
      <c r="K668">
        <v>1377838800</v>
      </c>
      <c r="L668" s="5">
        <f t="shared" si="41"/>
        <v>79.400000000000006</v>
      </c>
      <c r="M668">
        <v>1378357200</v>
      </c>
      <c r="N668" s="9">
        <f t="shared" si="42"/>
        <v>41516.208333333336</v>
      </c>
      <c r="O668" s="9">
        <f t="shared" si="43"/>
        <v>41522.208333333336</v>
      </c>
      <c r="P668" t="b">
        <v>0</v>
      </c>
      <c r="Q668" t="b">
        <v>1</v>
      </c>
      <c r="R668" t="s">
        <v>33</v>
      </c>
      <c r="S668" s="5" t="str" cm="1">
        <f t="array" ref="S668:T668">_xlfn.TEXTSPLIT(R668, "/")</f>
        <v>theater</v>
      </c>
      <c r="T668" s="5" t="str">
        <v>plays</v>
      </c>
    </row>
    <row r="669" spans="1:20" ht="33.75" x14ac:dyDescent="0.4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 s="4">
        <f t="shared" si="40"/>
        <v>176.15942028985506</v>
      </c>
      <c r="K669">
        <v>1410325200</v>
      </c>
      <c r="L669" s="5">
        <f t="shared" si="41"/>
        <v>29.009546539379475</v>
      </c>
      <c r="M669">
        <v>1411102800</v>
      </c>
      <c r="N669" s="9">
        <f t="shared" si="42"/>
        <v>41892.208333333336</v>
      </c>
      <c r="O669" s="9">
        <f t="shared" si="43"/>
        <v>41901.208333333336</v>
      </c>
      <c r="P669" t="b">
        <v>0</v>
      </c>
      <c r="Q669" t="b">
        <v>0</v>
      </c>
      <c r="R669" t="s">
        <v>1029</v>
      </c>
      <c r="S669" s="5" t="str" cm="1">
        <f t="array" ref="S669:T669">_xlfn.TEXTSPLIT(R669, "/")</f>
        <v>journalism</v>
      </c>
      <c r="T669" s="5" t="str">
        <v>audio</v>
      </c>
    </row>
    <row r="670" spans="1:20" ht="33.75" x14ac:dyDescent="0.4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 s="4">
        <f t="shared" si="40"/>
        <v>20.33818181818182</v>
      </c>
      <c r="K670">
        <v>1343797200</v>
      </c>
      <c r="L670" s="5">
        <f t="shared" si="41"/>
        <v>73.59210526315789</v>
      </c>
      <c r="M670">
        <v>1344834000</v>
      </c>
      <c r="N670" s="9">
        <f t="shared" si="42"/>
        <v>41122.208333333336</v>
      </c>
      <c r="O670" s="9">
        <f t="shared" si="43"/>
        <v>41134.208333333336</v>
      </c>
      <c r="P670" t="b">
        <v>0</v>
      </c>
      <c r="Q670" t="b">
        <v>0</v>
      </c>
      <c r="R670" t="s">
        <v>33</v>
      </c>
      <c r="S670" s="5" t="str" cm="1">
        <f t="array" ref="S670:T670">_xlfn.TEXTSPLIT(R670, "/")</f>
        <v>theater</v>
      </c>
      <c r="T670" s="5" t="str">
        <v>plays</v>
      </c>
    </row>
    <row r="671" spans="1:20" ht="19.5" x14ac:dyDescent="0.4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 s="4">
        <f t="shared" si="40"/>
        <v>358.64754098360658</v>
      </c>
      <c r="K671">
        <v>1498453200</v>
      </c>
      <c r="L671" s="5">
        <f t="shared" si="41"/>
        <v>107.97038864898211</v>
      </c>
      <c r="M671">
        <v>1499230800</v>
      </c>
      <c r="N671" s="9">
        <f t="shared" si="42"/>
        <v>42912.208333333328</v>
      </c>
      <c r="O671" s="9">
        <f t="shared" si="43"/>
        <v>42921.208333333328</v>
      </c>
      <c r="P671" t="b">
        <v>0</v>
      </c>
      <c r="Q671" t="b">
        <v>0</v>
      </c>
      <c r="R671" t="s">
        <v>33</v>
      </c>
      <c r="S671" s="5" t="str" cm="1">
        <f t="array" ref="S671:T671">_xlfn.TEXTSPLIT(R671, "/")</f>
        <v>theater</v>
      </c>
      <c r="T671" s="5" t="str">
        <v>plays</v>
      </c>
    </row>
    <row r="672" spans="1:20" ht="33.75" x14ac:dyDescent="0.4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 s="4">
        <f t="shared" si="40"/>
        <v>468.85802469135803</v>
      </c>
      <c r="K672">
        <v>1456380000</v>
      </c>
      <c r="L672" s="5">
        <f t="shared" si="41"/>
        <v>68.987284287011803</v>
      </c>
      <c r="M672">
        <v>1457416800</v>
      </c>
      <c r="N672" s="9">
        <f t="shared" si="42"/>
        <v>42425.25</v>
      </c>
      <c r="O672" s="9">
        <f t="shared" si="43"/>
        <v>42437.25</v>
      </c>
      <c r="P672" t="b">
        <v>0</v>
      </c>
      <c r="Q672" t="b">
        <v>0</v>
      </c>
      <c r="R672" t="s">
        <v>60</v>
      </c>
      <c r="S672" s="5" t="str" cm="1">
        <f t="array" ref="S672:T672">_xlfn.TEXTSPLIT(R672, "/")</f>
        <v>music</v>
      </c>
      <c r="T672" s="5" t="str">
        <v>indie rock</v>
      </c>
    </row>
    <row r="673" spans="1:20" ht="33.75" x14ac:dyDescent="0.4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 s="4">
        <f t="shared" si="40"/>
        <v>122.05635245901641</v>
      </c>
      <c r="K673">
        <v>1280552400</v>
      </c>
      <c r="L673" s="5">
        <f t="shared" si="41"/>
        <v>111.02236719478098</v>
      </c>
      <c r="M673">
        <v>1280898000</v>
      </c>
      <c r="N673" s="9">
        <f t="shared" si="42"/>
        <v>40390.208333333336</v>
      </c>
      <c r="O673" s="9">
        <f t="shared" si="43"/>
        <v>40394.208333333336</v>
      </c>
      <c r="P673" t="b">
        <v>0</v>
      </c>
      <c r="Q673" t="b">
        <v>1</v>
      </c>
      <c r="R673" t="s">
        <v>33</v>
      </c>
      <c r="S673" s="5" t="str" cm="1">
        <f t="array" ref="S673:T673">_xlfn.TEXTSPLIT(R673, "/")</f>
        <v>theater</v>
      </c>
      <c r="T673" s="5" t="str">
        <v>plays</v>
      </c>
    </row>
    <row r="674" spans="1:20" ht="19.5" x14ac:dyDescent="0.4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 s="4">
        <f t="shared" si="40"/>
        <v>55.931783729156137</v>
      </c>
      <c r="K674">
        <v>1521608400</v>
      </c>
      <c r="L674" s="5">
        <f t="shared" si="41"/>
        <v>24.997515808491418</v>
      </c>
      <c r="M674">
        <v>1522472400</v>
      </c>
      <c r="N674" s="9">
        <f t="shared" si="42"/>
        <v>43180.208333333328</v>
      </c>
      <c r="O674" s="9">
        <f t="shared" si="43"/>
        <v>43190.208333333328</v>
      </c>
      <c r="P674" t="b">
        <v>0</v>
      </c>
      <c r="Q674" t="b">
        <v>0</v>
      </c>
      <c r="R674" t="s">
        <v>33</v>
      </c>
      <c r="S674" s="5" t="str" cm="1">
        <f t="array" ref="S674:T674">_xlfn.TEXTSPLIT(R674, "/")</f>
        <v>theater</v>
      </c>
      <c r="T674" s="5" t="str">
        <v>plays</v>
      </c>
    </row>
    <row r="675" spans="1:20" ht="19.5" x14ac:dyDescent="0.4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 s="4">
        <f t="shared" si="40"/>
        <v>43.660714285714285</v>
      </c>
      <c r="K675">
        <v>1460696400</v>
      </c>
      <c r="L675" s="5">
        <f t="shared" si="41"/>
        <v>42.155172413793103</v>
      </c>
      <c r="M675">
        <v>1462510800</v>
      </c>
      <c r="N675" s="9">
        <f t="shared" si="42"/>
        <v>42475.208333333328</v>
      </c>
      <c r="O675" s="9">
        <f t="shared" si="43"/>
        <v>42496.208333333328</v>
      </c>
      <c r="P675" t="b">
        <v>0</v>
      </c>
      <c r="Q675" t="b">
        <v>0</v>
      </c>
      <c r="R675" t="s">
        <v>60</v>
      </c>
      <c r="S675" s="5" t="str" cm="1">
        <f t="array" ref="S675:T675">_xlfn.TEXTSPLIT(R675, "/")</f>
        <v>music</v>
      </c>
      <c r="T675" s="5" t="str">
        <v>indie rock</v>
      </c>
    </row>
    <row r="676" spans="1:20" ht="19.5" x14ac:dyDescent="0.4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 s="4">
        <f t="shared" si="40"/>
        <v>33.53837141183363</v>
      </c>
      <c r="K676">
        <v>1313730000</v>
      </c>
      <c r="L676" s="5">
        <f t="shared" si="41"/>
        <v>47.003284072249592</v>
      </c>
      <c r="M676">
        <v>1317790800</v>
      </c>
      <c r="N676" s="9">
        <f t="shared" si="42"/>
        <v>40774.208333333336</v>
      </c>
      <c r="O676" s="9">
        <f t="shared" si="43"/>
        <v>40821.208333333336</v>
      </c>
      <c r="P676" t="b">
        <v>0</v>
      </c>
      <c r="Q676" t="b">
        <v>0</v>
      </c>
      <c r="R676" t="s">
        <v>122</v>
      </c>
      <c r="S676" s="5" t="str" cm="1">
        <f t="array" ref="S676:T676">_xlfn.TEXTSPLIT(R676, "/")</f>
        <v>photography</v>
      </c>
      <c r="T676" s="5" t="str">
        <v>photography books</v>
      </c>
    </row>
    <row r="677" spans="1:20" ht="19.5" x14ac:dyDescent="0.4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 s="4">
        <f t="shared" si="40"/>
        <v>122.97938144329896</v>
      </c>
      <c r="K677">
        <v>1568178000</v>
      </c>
      <c r="L677" s="5">
        <f t="shared" si="41"/>
        <v>36.0392749244713</v>
      </c>
      <c r="M677">
        <v>1568782800</v>
      </c>
      <c r="N677" s="9">
        <f t="shared" si="42"/>
        <v>43719.208333333328</v>
      </c>
      <c r="O677" s="9">
        <f t="shared" si="43"/>
        <v>43726.208333333328</v>
      </c>
      <c r="P677" t="b">
        <v>0</v>
      </c>
      <c r="Q677" t="b">
        <v>0</v>
      </c>
      <c r="R677" t="s">
        <v>1029</v>
      </c>
      <c r="S677" s="5" t="str" cm="1">
        <f t="array" ref="S677:T677">_xlfn.TEXTSPLIT(R677, "/")</f>
        <v>journalism</v>
      </c>
      <c r="T677" s="5" t="str">
        <v>audio</v>
      </c>
    </row>
    <row r="678" spans="1:20" ht="19.5" x14ac:dyDescent="0.4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 s="4">
        <f t="shared" si="40"/>
        <v>189.74959871589084</v>
      </c>
      <c r="K678">
        <v>1348635600</v>
      </c>
      <c r="L678" s="5">
        <f t="shared" si="41"/>
        <v>101.03760683760684</v>
      </c>
      <c r="M678">
        <v>1349413200</v>
      </c>
      <c r="N678" s="9">
        <f t="shared" si="42"/>
        <v>41178.208333333336</v>
      </c>
      <c r="O678" s="9">
        <f t="shared" si="43"/>
        <v>41187.208333333336</v>
      </c>
      <c r="P678" t="b">
        <v>0</v>
      </c>
      <c r="Q678" t="b">
        <v>0</v>
      </c>
      <c r="R678" t="s">
        <v>122</v>
      </c>
      <c r="S678" s="5" t="str" cm="1">
        <f t="array" ref="S678:T678">_xlfn.TEXTSPLIT(R678, "/")</f>
        <v>photography</v>
      </c>
      <c r="T678" s="5" t="str">
        <v>photography books</v>
      </c>
    </row>
    <row r="679" spans="1:20" ht="19.5" x14ac:dyDescent="0.4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 s="4">
        <f t="shared" si="40"/>
        <v>83.622641509433961</v>
      </c>
      <c r="K679">
        <v>1468126800</v>
      </c>
      <c r="L679" s="5">
        <f t="shared" si="41"/>
        <v>39.927927927927925</v>
      </c>
      <c r="M679">
        <v>1472446800</v>
      </c>
      <c r="N679" s="9">
        <f t="shared" si="42"/>
        <v>42561.208333333328</v>
      </c>
      <c r="O679" s="9">
        <f t="shared" si="43"/>
        <v>42611.208333333328</v>
      </c>
      <c r="P679" t="b">
        <v>0</v>
      </c>
      <c r="Q679" t="b">
        <v>0</v>
      </c>
      <c r="R679" t="s">
        <v>119</v>
      </c>
      <c r="S679" s="5" t="str" cm="1">
        <f t="array" ref="S679:T679">_xlfn.TEXTSPLIT(R679, "/")</f>
        <v>publishing</v>
      </c>
      <c r="T679" s="5" t="str">
        <v>fiction</v>
      </c>
    </row>
    <row r="680" spans="1:20" ht="19.5" x14ac:dyDescent="0.4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 s="4">
        <f t="shared" si="40"/>
        <v>17.968844221105527</v>
      </c>
      <c r="K680">
        <v>1547877600</v>
      </c>
      <c r="L680" s="5">
        <f t="shared" si="41"/>
        <v>83.158139534883716</v>
      </c>
      <c r="M680">
        <v>1548050400</v>
      </c>
      <c r="N680" s="9">
        <f t="shared" si="42"/>
        <v>43484.25</v>
      </c>
      <c r="O680" s="9">
        <f t="shared" si="43"/>
        <v>43486.25</v>
      </c>
      <c r="P680" t="b">
        <v>0</v>
      </c>
      <c r="Q680" t="b">
        <v>0</v>
      </c>
      <c r="R680" t="s">
        <v>53</v>
      </c>
      <c r="S680" s="5" t="str" cm="1">
        <f t="array" ref="S680:T680">_xlfn.TEXTSPLIT(R680, "/")</f>
        <v>film &amp; video</v>
      </c>
      <c r="T680" s="5" t="str">
        <v>drama</v>
      </c>
    </row>
    <row r="681" spans="1:20" ht="19.5" x14ac:dyDescent="0.4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 s="4">
        <f t="shared" si="40"/>
        <v>1036.5</v>
      </c>
      <c r="K681">
        <v>1571374800</v>
      </c>
      <c r="L681" s="5">
        <f t="shared" si="41"/>
        <v>39.97520661157025</v>
      </c>
      <c r="M681">
        <v>1571806800</v>
      </c>
      <c r="N681" s="9">
        <f t="shared" si="42"/>
        <v>43756.208333333328</v>
      </c>
      <c r="O681" s="9">
        <f t="shared" si="43"/>
        <v>43761.208333333328</v>
      </c>
      <c r="P681" t="b">
        <v>0</v>
      </c>
      <c r="Q681" t="b">
        <v>1</v>
      </c>
      <c r="R681" t="s">
        <v>17</v>
      </c>
      <c r="S681" s="5" t="str" cm="1">
        <f t="array" ref="S681:T681">_xlfn.TEXTSPLIT(R681, "/")</f>
        <v>food</v>
      </c>
      <c r="T681" s="5" t="str">
        <v>food trucks</v>
      </c>
    </row>
    <row r="682" spans="1:20" ht="33.75" x14ac:dyDescent="0.4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 s="4">
        <f t="shared" si="40"/>
        <v>97.405219780219781</v>
      </c>
      <c r="K682">
        <v>1576303200</v>
      </c>
      <c r="L682" s="5">
        <f t="shared" si="41"/>
        <v>47.993908629441627</v>
      </c>
      <c r="M682">
        <v>1576476000</v>
      </c>
      <c r="N682" s="9">
        <f t="shared" si="42"/>
        <v>43813.25</v>
      </c>
      <c r="O682" s="9">
        <f t="shared" si="43"/>
        <v>43815.25</v>
      </c>
      <c r="P682" t="b">
        <v>0</v>
      </c>
      <c r="Q682" t="b">
        <v>1</v>
      </c>
      <c r="R682" t="s">
        <v>292</v>
      </c>
      <c r="S682" s="5" t="str" cm="1">
        <f t="array" ref="S682:T682">_xlfn.TEXTSPLIT(R682, "/")</f>
        <v>games</v>
      </c>
      <c r="T682" s="5" t="str">
        <v>mobile games</v>
      </c>
    </row>
    <row r="683" spans="1:20" ht="33.75" x14ac:dyDescent="0.4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 s="4">
        <f t="shared" si="40"/>
        <v>86.386203150461711</v>
      </c>
      <c r="K683">
        <v>1324447200</v>
      </c>
      <c r="L683" s="5">
        <f t="shared" si="41"/>
        <v>95.978877489438744</v>
      </c>
      <c r="M683">
        <v>1324965600</v>
      </c>
      <c r="N683" s="9">
        <f t="shared" si="42"/>
        <v>40898.25</v>
      </c>
      <c r="O683" s="9">
        <f t="shared" si="43"/>
        <v>40904.25</v>
      </c>
      <c r="P683" t="b">
        <v>0</v>
      </c>
      <c r="Q683" t="b">
        <v>0</v>
      </c>
      <c r="R683" t="s">
        <v>33</v>
      </c>
      <c r="S683" s="5" t="str" cm="1">
        <f t="array" ref="S683:T683">_xlfn.TEXTSPLIT(R683, "/")</f>
        <v>theater</v>
      </c>
      <c r="T683" s="5" t="str">
        <v>plays</v>
      </c>
    </row>
    <row r="684" spans="1:20" ht="19.5" x14ac:dyDescent="0.4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 s="4">
        <f t="shared" si="40"/>
        <v>150.16666666666666</v>
      </c>
      <c r="K684">
        <v>1386741600</v>
      </c>
      <c r="L684" s="5">
        <f t="shared" si="41"/>
        <v>78.728155339805824</v>
      </c>
      <c r="M684">
        <v>1387519200</v>
      </c>
      <c r="N684" s="9">
        <f t="shared" si="42"/>
        <v>41619.25</v>
      </c>
      <c r="O684" s="9">
        <f t="shared" si="43"/>
        <v>41628.25</v>
      </c>
      <c r="P684" t="b">
        <v>0</v>
      </c>
      <c r="Q684" t="b">
        <v>0</v>
      </c>
      <c r="R684" t="s">
        <v>33</v>
      </c>
      <c r="S684" s="5" t="str" cm="1">
        <f t="array" ref="S684:T684">_xlfn.TEXTSPLIT(R684, "/")</f>
        <v>theater</v>
      </c>
      <c r="T684" s="5" t="str">
        <v>plays</v>
      </c>
    </row>
    <row r="685" spans="1:20" ht="19.5" x14ac:dyDescent="0.4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 s="4">
        <f t="shared" si="40"/>
        <v>358.43478260869563</v>
      </c>
      <c r="K685">
        <v>1537074000</v>
      </c>
      <c r="L685" s="5">
        <f t="shared" si="41"/>
        <v>56.081632653061227</v>
      </c>
      <c r="M685">
        <v>1537246800</v>
      </c>
      <c r="N685" s="9">
        <f t="shared" si="42"/>
        <v>43359.208333333328</v>
      </c>
      <c r="O685" s="9">
        <f t="shared" si="43"/>
        <v>43361.208333333328</v>
      </c>
      <c r="P685" t="b">
        <v>0</v>
      </c>
      <c r="Q685" t="b">
        <v>0</v>
      </c>
      <c r="R685" t="s">
        <v>33</v>
      </c>
      <c r="S685" s="5" t="str" cm="1">
        <f t="array" ref="S685:T685">_xlfn.TEXTSPLIT(R685, "/")</f>
        <v>theater</v>
      </c>
      <c r="T685" s="5" t="str">
        <v>plays</v>
      </c>
    </row>
    <row r="686" spans="1:20" ht="19.5" x14ac:dyDescent="0.4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 s="4">
        <f t="shared" si="40"/>
        <v>542.85714285714289</v>
      </c>
      <c r="K686">
        <v>1277787600</v>
      </c>
      <c r="L686" s="5">
        <f t="shared" si="41"/>
        <v>69.090909090909093</v>
      </c>
      <c r="M686">
        <v>1279515600</v>
      </c>
      <c r="N686" s="9">
        <f t="shared" si="42"/>
        <v>40358.208333333336</v>
      </c>
      <c r="O686" s="9">
        <f t="shared" si="43"/>
        <v>40378.208333333336</v>
      </c>
      <c r="P686" t="b">
        <v>0</v>
      </c>
      <c r="Q686" t="b">
        <v>0</v>
      </c>
      <c r="R686" t="s">
        <v>68</v>
      </c>
      <c r="S686" s="5" t="str" cm="1">
        <f t="array" ref="S686:T686">_xlfn.TEXTSPLIT(R686, "/")</f>
        <v>publishing</v>
      </c>
      <c r="T686" s="5" t="str">
        <v>nonfiction</v>
      </c>
    </row>
    <row r="687" spans="1:20" ht="19.5" x14ac:dyDescent="0.4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 s="4">
        <f t="shared" si="40"/>
        <v>67.500714285714281</v>
      </c>
      <c r="K687">
        <v>1440306000</v>
      </c>
      <c r="L687" s="5">
        <f t="shared" si="41"/>
        <v>102.05291576673866</v>
      </c>
      <c r="M687">
        <v>1442379600</v>
      </c>
      <c r="N687" s="9">
        <f t="shared" si="42"/>
        <v>42239.208333333328</v>
      </c>
      <c r="O687" s="9">
        <f t="shared" si="43"/>
        <v>42263.208333333328</v>
      </c>
      <c r="P687" t="b">
        <v>0</v>
      </c>
      <c r="Q687" t="b">
        <v>0</v>
      </c>
      <c r="R687" t="s">
        <v>33</v>
      </c>
      <c r="S687" s="5" t="str" cm="1">
        <f t="array" ref="S687:T687">_xlfn.TEXTSPLIT(R687, "/")</f>
        <v>theater</v>
      </c>
      <c r="T687" s="5" t="str">
        <v>plays</v>
      </c>
    </row>
    <row r="688" spans="1:20" ht="19.5" x14ac:dyDescent="0.4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 s="4">
        <f t="shared" si="40"/>
        <v>191.74666666666667</v>
      </c>
      <c r="K688">
        <v>1522126800</v>
      </c>
      <c r="L688" s="5">
        <f t="shared" si="41"/>
        <v>107.32089552238806</v>
      </c>
      <c r="M688">
        <v>1523077200</v>
      </c>
      <c r="N688" s="9">
        <f t="shared" si="42"/>
        <v>43186.208333333328</v>
      </c>
      <c r="O688" s="9">
        <f t="shared" si="43"/>
        <v>43197.208333333328</v>
      </c>
      <c r="P688" t="b">
        <v>0</v>
      </c>
      <c r="Q688" t="b">
        <v>0</v>
      </c>
      <c r="R688" t="s">
        <v>65</v>
      </c>
      <c r="S688" s="5" t="str" cm="1">
        <f t="array" ref="S688:T688">_xlfn.TEXTSPLIT(R688, "/")</f>
        <v>technology</v>
      </c>
      <c r="T688" s="5" t="str">
        <v>wearables</v>
      </c>
    </row>
    <row r="689" spans="1:20" ht="19.5" x14ac:dyDescent="0.4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 s="4">
        <f t="shared" si="40"/>
        <v>932</v>
      </c>
      <c r="K689">
        <v>1489298400</v>
      </c>
      <c r="L689" s="5">
        <f t="shared" si="41"/>
        <v>51.970260223048328</v>
      </c>
      <c r="M689">
        <v>1489554000</v>
      </c>
      <c r="N689" s="9">
        <f t="shared" si="42"/>
        <v>42806.25</v>
      </c>
      <c r="O689" s="9">
        <f t="shared" si="43"/>
        <v>42809.208333333328</v>
      </c>
      <c r="P689" t="b">
        <v>0</v>
      </c>
      <c r="Q689" t="b">
        <v>0</v>
      </c>
      <c r="R689" t="s">
        <v>33</v>
      </c>
      <c r="S689" s="5" t="str" cm="1">
        <f t="array" ref="S689:T689">_xlfn.TEXTSPLIT(R689, "/")</f>
        <v>theater</v>
      </c>
      <c r="T689" s="5" t="str">
        <v>plays</v>
      </c>
    </row>
    <row r="690" spans="1:20" ht="19.5" x14ac:dyDescent="0.4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 s="4">
        <f t="shared" si="40"/>
        <v>429.27586206896552</v>
      </c>
      <c r="K690">
        <v>1547100000</v>
      </c>
      <c r="L690" s="5">
        <f t="shared" si="41"/>
        <v>71.137142857142862</v>
      </c>
      <c r="M690">
        <v>1548482400</v>
      </c>
      <c r="N690" s="9">
        <f t="shared" si="42"/>
        <v>43475.25</v>
      </c>
      <c r="O690" s="9">
        <f t="shared" si="43"/>
        <v>43491.25</v>
      </c>
      <c r="P690" t="b">
        <v>0</v>
      </c>
      <c r="Q690" t="b">
        <v>1</v>
      </c>
      <c r="R690" t="s">
        <v>269</v>
      </c>
      <c r="S690" s="5" t="str" cm="1">
        <f t="array" ref="S690:T690">_xlfn.TEXTSPLIT(R690, "/")</f>
        <v>film &amp; video</v>
      </c>
      <c r="T690" s="5" t="str">
        <v>television</v>
      </c>
    </row>
    <row r="691" spans="1:20" ht="19.5" x14ac:dyDescent="0.4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 s="4">
        <f t="shared" si="40"/>
        <v>100.65753424657535</v>
      </c>
      <c r="K691">
        <v>1383022800</v>
      </c>
      <c r="L691" s="5">
        <f t="shared" si="41"/>
        <v>106.49275362318841</v>
      </c>
      <c r="M691">
        <v>1384063200</v>
      </c>
      <c r="N691" s="9">
        <f t="shared" si="42"/>
        <v>41576.208333333336</v>
      </c>
      <c r="O691" s="9">
        <f t="shared" si="43"/>
        <v>41588.25</v>
      </c>
      <c r="P691" t="b">
        <v>0</v>
      </c>
      <c r="Q691" t="b">
        <v>0</v>
      </c>
      <c r="R691" t="s">
        <v>28</v>
      </c>
      <c r="S691" s="5" t="str" cm="1">
        <f t="array" ref="S691:T691">_xlfn.TEXTSPLIT(R691, "/")</f>
        <v>technology</v>
      </c>
      <c r="T691" s="5" t="str">
        <v>web</v>
      </c>
    </row>
    <row r="692" spans="1:20" ht="19.5" x14ac:dyDescent="0.4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 s="4">
        <f t="shared" si="40"/>
        <v>226.61111111111109</v>
      </c>
      <c r="K692">
        <v>1322373600</v>
      </c>
      <c r="L692" s="5">
        <f t="shared" si="41"/>
        <v>42.93684210526316</v>
      </c>
      <c r="M692">
        <v>1322892000</v>
      </c>
      <c r="N692" s="9">
        <f t="shared" si="42"/>
        <v>40874.25</v>
      </c>
      <c r="O692" s="9">
        <f t="shared" si="43"/>
        <v>40880.25</v>
      </c>
      <c r="P692" t="b">
        <v>0</v>
      </c>
      <c r="Q692" t="b">
        <v>1</v>
      </c>
      <c r="R692" t="s">
        <v>42</v>
      </c>
      <c r="S692" s="5" t="str" cm="1">
        <f t="array" ref="S692:T692">_xlfn.TEXTSPLIT(R692, "/")</f>
        <v>film &amp; video</v>
      </c>
      <c r="T692" s="5" t="str">
        <v>documentary</v>
      </c>
    </row>
    <row r="693" spans="1:20" ht="19.5" x14ac:dyDescent="0.4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 s="4">
        <f t="shared" si="40"/>
        <v>142.38</v>
      </c>
      <c r="K693">
        <v>1349240400</v>
      </c>
      <c r="L693" s="5">
        <f t="shared" si="41"/>
        <v>30.037974683544302</v>
      </c>
      <c r="M693">
        <v>1350709200</v>
      </c>
      <c r="N693" s="9">
        <f t="shared" si="42"/>
        <v>41185.208333333336</v>
      </c>
      <c r="O693" s="9">
        <f t="shared" si="43"/>
        <v>41202.208333333336</v>
      </c>
      <c r="P693" t="b">
        <v>1</v>
      </c>
      <c r="Q693" t="b">
        <v>1</v>
      </c>
      <c r="R693" t="s">
        <v>42</v>
      </c>
      <c r="S693" s="5" t="str" cm="1">
        <f t="array" ref="S693:T693">_xlfn.TEXTSPLIT(R693, "/")</f>
        <v>film &amp; video</v>
      </c>
      <c r="T693" s="5" t="str">
        <v>documentary</v>
      </c>
    </row>
    <row r="694" spans="1:20" ht="19.5" x14ac:dyDescent="0.4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 s="4">
        <f t="shared" si="40"/>
        <v>90.633333333333326</v>
      </c>
      <c r="K694">
        <v>1562648400</v>
      </c>
      <c r="L694" s="5">
        <f t="shared" si="41"/>
        <v>70.623376623376629</v>
      </c>
      <c r="M694">
        <v>1564203600</v>
      </c>
      <c r="N694" s="9">
        <f t="shared" si="42"/>
        <v>43655.208333333328</v>
      </c>
      <c r="O694" s="9">
        <f t="shared" si="43"/>
        <v>43673.208333333328</v>
      </c>
      <c r="P694" t="b">
        <v>0</v>
      </c>
      <c r="Q694" t="b">
        <v>0</v>
      </c>
      <c r="R694" t="s">
        <v>23</v>
      </c>
      <c r="S694" s="5" t="str" cm="1">
        <f t="array" ref="S694:T694">_xlfn.TEXTSPLIT(R694, "/")</f>
        <v>music</v>
      </c>
      <c r="T694" s="5" t="str">
        <v>rock</v>
      </c>
    </row>
    <row r="695" spans="1:20" ht="33.75" x14ac:dyDescent="0.4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 s="4">
        <f t="shared" si="40"/>
        <v>63.966740576496676</v>
      </c>
      <c r="K695">
        <v>1508216400</v>
      </c>
      <c r="L695" s="5">
        <f t="shared" si="41"/>
        <v>66.016018306636155</v>
      </c>
      <c r="M695">
        <v>1509685200</v>
      </c>
      <c r="N695" s="9">
        <f t="shared" si="42"/>
        <v>43025.208333333328</v>
      </c>
      <c r="O695" s="9">
        <f t="shared" si="43"/>
        <v>43042.208333333328</v>
      </c>
      <c r="P695" t="b">
        <v>0</v>
      </c>
      <c r="Q695" t="b">
        <v>0</v>
      </c>
      <c r="R695" t="s">
        <v>33</v>
      </c>
      <c r="S695" s="5" t="str" cm="1">
        <f t="array" ref="S695:T695">_xlfn.TEXTSPLIT(R695, "/")</f>
        <v>theater</v>
      </c>
      <c r="T695" s="5" t="str">
        <v>plays</v>
      </c>
    </row>
    <row r="696" spans="1:20" ht="19.5" x14ac:dyDescent="0.4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 s="4">
        <f t="shared" si="40"/>
        <v>84.131868131868131</v>
      </c>
      <c r="K696">
        <v>1511762400</v>
      </c>
      <c r="L696" s="5">
        <f t="shared" si="41"/>
        <v>96.911392405063296</v>
      </c>
      <c r="M696">
        <v>1514959200</v>
      </c>
      <c r="N696" s="9">
        <f t="shared" si="42"/>
        <v>43066.25</v>
      </c>
      <c r="O696" s="9">
        <f t="shared" si="43"/>
        <v>43103.25</v>
      </c>
      <c r="P696" t="b">
        <v>0</v>
      </c>
      <c r="Q696" t="b">
        <v>0</v>
      </c>
      <c r="R696" t="s">
        <v>33</v>
      </c>
      <c r="S696" s="5" t="str" cm="1">
        <f t="array" ref="S696:T696">_xlfn.TEXTSPLIT(R696, "/")</f>
        <v>theater</v>
      </c>
      <c r="T696" s="5" t="str">
        <v>plays</v>
      </c>
    </row>
    <row r="697" spans="1:20" ht="19.5" x14ac:dyDescent="0.4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 s="4">
        <f t="shared" si="40"/>
        <v>133.93478260869566</v>
      </c>
      <c r="K697">
        <v>1447480800</v>
      </c>
      <c r="L697" s="5">
        <f t="shared" si="41"/>
        <v>62.867346938775512</v>
      </c>
      <c r="M697">
        <v>1448863200</v>
      </c>
      <c r="N697" s="9">
        <f t="shared" si="42"/>
        <v>42322.25</v>
      </c>
      <c r="O697" s="9">
        <f t="shared" si="43"/>
        <v>42338.25</v>
      </c>
      <c r="P697" t="b">
        <v>1</v>
      </c>
      <c r="Q697" t="b">
        <v>0</v>
      </c>
      <c r="R697" t="s">
        <v>23</v>
      </c>
      <c r="S697" s="5" t="str" cm="1">
        <f t="array" ref="S697:T697">_xlfn.TEXTSPLIT(R697, "/")</f>
        <v>music</v>
      </c>
      <c r="T697" s="5" t="str">
        <v>rock</v>
      </c>
    </row>
    <row r="698" spans="1:20" ht="19.5" x14ac:dyDescent="0.4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 s="4">
        <f t="shared" si="40"/>
        <v>59.042047531992694</v>
      </c>
      <c r="K698">
        <v>1429506000</v>
      </c>
      <c r="L698" s="5">
        <f t="shared" si="41"/>
        <v>108.98537682789652</v>
      </c>
      <c r="M698">
        <v>1429592400</v>
      </c>
      <c r="N698" s="9">
        <f t="shared" si="42"/>
        <v>42114.208333333328</v>
      </c>
      <c r="O698" s="9">
        <f t="shared" si="43"/>
        <v>42115.208333333328</v>
      </c>
      <c r="P698" t="b">
        <v>0</v>
      </c>
      <c r="Q698" t="b">
        <v>1</v>
      </c>
      <c r="R698" t="s">
        <v>33</v>
      </c>
      <c r="S698" s="5" t="str" cm="1">
        <f t="array" ref="S698:T698">_xlfn.TEXTSPLIT(R698, "/")</f>
        <v>theater</v>
      </c>
      <c r="T698" s="5" t="str">
        <v>plays</v>
      </c>
    </row>
    <row r="699" spans="1:20" ht="19.5" x14ac:dyDescent="0.4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 s="4">
        <f t="shared" si="40"/>
        <v>152.80062063615205</v>
      </c>
      <c r="K699">
        <v>1522472400</v>
      </c>
      <c r="L699" s="5">
        <f t="shared" si="41"/>
        <v>26.999314599040439</v>
      </c>
      <c r="M699">
        <v>1522645200</v>
      </c>
      <c r="N699" s="9">
        <f t="shared" si="42"/>
        <v>43190.208333333328</v>
      </c>
      <c r="O699" s="9">
        <f t="shared" si="43"/>
        <v>43192.208333333328</v>
      </c>
      <c r="P699" t="b">
        <v>0</v>
      </c>
      <c r="Q699" t="b">
        <v>0</v>
      </c>
      <c r="R699" t="s">
        <v>50</v>
      </c>
      <c r="S699" s="5" t="str" cm="1">
        <f t="array" ref="S699:T699">_xlfn.TEXTSPLIT(R699, "/")</f>
        <v>music</v>
      </c>
      <c r="T699" s="5" t="str">
        <v>electric music</v>
      </c>
    </row>
    <row r="700" spans="1:20" ht="19.5" x14ac:dyDescent="0.4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 s="4">
        <f t="shared" si="40"/>
        <v>446.69121140142522</v>
      </c>
      <c r="K700">
        <v>1322114400</v>
      </c>
      <c r="L700" s="5">
        <f t="shared" si="41"/>
        <v>65.004147943311438</v>
      </c>
      <c r="M700">
        <v>1323324000</v>
      </c>
      <c r="N700" s="9">
        <f t="shared" si="42"/>
        <v>40871.25</v>
      </c>
      <c r="O700" s="9">
        <f t="shared" si="43"/>
        <v>40885.25</v>
      </c>
      <c r="P700" t="b">
        <v>0</v>
      </c>
      <c r="Q700" t="b">
        <v>0</v>
      </c>
      <c r="R700" t="s">
        <v>65</v>
      </c>
      <c r="S700" s="5" t="str" cm="1">
        <f t="array" ref="S700:T700">_xlfn.TEXTSPLIT(R700, "/")</f>
        <v>technology</v>
      </c>
      <c r="T700" s="5" t="str">
        <v>wearables</v>
      </c>
    </row>
    <row r="701" spans="1:20" ht="19.5" x14ac:dyDescent="0.4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 s="4">
        <f t="shared" si="40"/>
        <v>84.391891891891888</v>
      </c>
      <c r="K701">
        <v>1561438800</v>
      </c>
      <c r="L701" s="5">
        <f t="shared" si="41"/>
        <v>111.51785714285714</v>
      </c>
      <c r="M701">
        <v>1561525200</v>
      </c>
      <c r="N701" s="9">
        <f t="shared" si="42"/>
        <v>43641.208333333328</v>
      </c>
      <c r="O701" s="9">
        <f t="shared" si="43"/>
        <v>43642.208333333328</v>
      </c>
      <c r="P701" t="b">
        <v>0</v>
      </c>
      <c r="Q701" t="b">
        <v>0</v>
      </c>
      <c r="R701" t="s">
        <v>53</v>
      </c>
      <c r="S701" s="5" t="str" cm="1">
        <f t="array" ref="S701:T701">_xlfn.TEXTSPLIT(R701, "/")</f>
        <v>film &amp; video</v>
      </c>
      <c r="T701" s="5" t="str">
        <v>drama</v>
      </c>
    </row>
    <row r="702" spans="1:20" ht="33.75" x14ac:dyDescent="0.4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 s="4">
        <f t="shared" si="40"/>
        <v>3</v>
      </c>
      <c r="K702">
        <v>1264399200</v>
      </c>
      <c r="L702" s="5">
        <f t="shared" si="41"/>
        <v>3</v>
      </c>
      <c r="M702">
        <v>1265695200</v>
      </c>
      <c r="N702" s="9">
        <f t="shared" si="42"/>
        <v>40203.25</v>
      </c>
      <c r="O702" s="9">
        <f t="shared" si="43"/>
        <v>40218.25</v>
      </c>
      <c r="P702" t="b">
        <v>0</v>
      </c>
      <c r="Q702" t="b">
        <v>0</v>
      </c>
      <c r="R702" t="s">
        <v>65</v>
      </c>
      <c r="S702" s="5" t="str" cm="1">
        <f t="array" ref="S702:T702">_xlfn.TEXTSPLIT(R702, "/")</f>
        <v>technology</v>
      </c>
      <c r="T702" s="5" t="str">
        <v>wearables</v>
      </c>
    </row>
    <row r="703" spans="1:20" ht="33.75" x14ac:dyDescent="0.4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 s="4">
        <f t="shared" si="40"/>
        <v>175.02692307692308</v>
      </c>
      <c r="K703">
        <v>1301202000</v>
      </c>
      <c r="L703" s="5">
        <f t="shared" si="41"/>
        <v>110.99268292682927</v>
      </c>
      <c r="M703">
        <v>1301806800</v>
      </c>
      <c r="N703" s="9">
        <f t="shared" si="42"/>
        <v>40629.208333333336</v>
      </c>
      <c r="O703" s="9">
        <f t="shared" si="43"/>
        <v>40636.208333333336</v>
      </c>
      <c r="P703" t="b">
        <v>1</v>
      </c>
      <c r="Q703" t="b">
        <v>0</v>
      </c>
      <c r="R703" t="s">
        <v>33</v>
      </c>
      <c r="S703" s="5" t="str" cm="1">
        <f t="array" ref="S703:T703">_xlfn.TEXTSPLIT(R703, "/")</f>
        <v>theater</v>
      </c>
      <c r="T703" s="5" t="str">
        <v>plays</v>
      </c>
    </row>
    <row r="704" spans="1:20" ht="33.75" x14ac:dyDescent="0.4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 s="4">
        <f t="shared" si="40"/>
        <v>54.137931034482754</v>
      </c>
      <c r="K704">
        <v>1374469200</v>
      </c>
      <c r="L704" s="5">
        <f t="shared" si="41"/>
        <v>56.746987951807228</v>
      </c>
      <c r="M704">
        <v>1374901200</v>
      </c>
      <c r="N704" s="9">
        <f t="shared" si="42"/>
        <v>41477.208333333336</v>
      </c>
      <c r="O704" s="9">
        <f t="shared" si="43"/>
        <v>41482.208333333336</v>
      </c>
      <c r="P704" t="b">
        <v>0</v>
      </c>
      <c r="Q704" t="b">
        <v>0</v>
      </c>
      <c r="R704" t="s">
        <v>65</v>
      </c>
      <c r="S704" s="5" t="str" cm="1">
        <f t="array" ref="S704:T704">_xlfn.TEXTSPLIT(R704, "/")</f>
        <v>technology</v>
      </c>
      <c r="T704" s="5" t="str">
        <v>wearables</v>
      </c>
    </row>
    <row r="705" spans="1:20" ht="19.5" x14ac:dyDescent="0.4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 s="4">
        <f t="shared" si="40"/>
        <v>311.87381703470032</v>
      </c>
      <c r="K705">
        <v>1334984400</v>
      </c>
      <c r="L705" s="5">
        <f t="shared" si="41"/>
        <v>97.020608439646708</v>
      </c>
      <c r="M705">
        <v>1336453200</v>
      </c>
      <c r="N705" s="9">
        <f t="shared" si="42"/>
        <v>41020.208333333336</v>
      </c>
      <c r="O705" s="9">
        <f t="shared" si="43"/>
        <v>41037.208333333336</v>
      </c>
      <c r="P705" t="b">
        <v>1</v>
      </c>
      <c r="Q705" t="b">
        <v>1</v>
      </c>
      <c r="R705" t="s">
        <v>206</v>
      </c>
      <c r="S705" s="5" t="str" cm="1">
        <f t="array" ref="S705:T705">_xlfn.TEXTSPLIT(R705, "/")</f>
        <v>publishing</v>
      </c>
      <c r="T705" s="5" t="str">
        <v>translations</v>
      </c>
    </row>
    <row r="706" spans="1:20" ht="33.75" x14ac:dyDescent="0.4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 s="4">
        <f t="shared" si="40"/>
        <v>122.78160919540231</v>
      </c>
      <c r="K706">
        <v>1467608400</v>
      </c>
      <c r="L706" s="5">
        <f t="shared" si="41"/>
        <v>92.08620689655173</v>
      </c>
      <c r="M706">
        <v>1468904400</v>
      </c>
      <c r="N706" s="9">
        <f t="shared" si="42"/>
        <v>42555.208333333328</v>
      </c>
      <c r="O706" s="9">
        <f t="shared" si="43"/>
        <v>42570.208333333328</v>
      </c>
      <c r="P706" t="b">
        <v>0</v>
      </c>
      <c r="Q706" t="b">
        <v>0</v>
      </c>
      <c r="R706" t="s">
        <v>71</v>
      </c>
      <c r="S706" s="5" t="str" cm="1">
        <f t="array" ref="S706:T706">_xlfn.TEXTSPLIT(R706, "/")</f>
        <v>film &amp; video</v>
      </c>
      <c r="T706" s="5" t="str">
        <v>animation</v>
      </c>
    </row>
    <row r="707" spans="1:20" ht="19.5" x14ac:dyDescent="0.4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 s="4">
        <f t="shared" ref="J707:J770" si="44">(E707/D707*100)</f>
        <v>99.026517383618156</v>
      </c>
      <c r="K707">
        <v>1386741600</v>
      </c>
      <c r="L707" s="5">
        <f t="shared" ref="L707:L770" si="45">E707/G707</f>
        <v>82.986666666666665</v>
      </c>
      <c r="M707">
        <v>1387087200</v>
      </c>
      <c r="N707" s="9">
        <f t="shared" ref="N707:N770" si="46">(((K707/60)/60)/24)+DATE(1970,1,1)</f>
        <v>41619.25</v>
      </c>
      <c r="O707" s="9">
        <f t="shared" ref="O707:O770" si="47">(((M707/60)/60)/24)+DATE(1970,1,1)</f>
        <v>41623.25</v>
      </c>
      <c r="P707" t="b">
        <v>0</v>
      </c>
      <c r="Q707" t="b">
        <v>0</v>
      </c>
      <c r="R707" t="s">
        <v>68</v>
      </c>
      <c r="S707" s="5" t="str" cm="1">
        <f t="array" ref="S707:T707">_xlfn.TEXTSPLIT(R707, "/")</f>
        <v>publishing</v>
      </c>
      <c r="T707" s="5" t="str">
        <v>nonfiction</v>
      </c>
    </row>
    <row r="708" spans="1:20" ht="33.75" x14ac:dyDescent="0.4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 s="4">
        <f t="shared" si="44"/>
        <v>127.84686346863469</v>
      </c>
      <c r="K708">
        <v>1546754400</v>
      </c>
      <c r="L708" s="5">
        <f t="shared" si="45"/>
        <v>103.03791821561339</v>
      </c>
      <c r="M708">
        <v>1547445600</v>
      </c>
      <c r="N708" s="9">
        <f t="shared" si="46"/>
        <v>43471.25</v>
      </c>
      <c r="O708" s="9">
        <f t="shared" si="47"/>
        <v>43479.25</v>
      </c>
      <c r="P708" t="b">
        <v>0</v>
      </c>
      <c r="Q708" t="b">
        <v>1</v>
      </c>
      <c r="R708" t="s">
        <v>28</v>
      </c>
      <c r="S708" s="5" t="str" cm="1">
        <f t="array" ref="S708:T708">_xlfn.TEXTSPLIT(R708, "/")</f>
        <v>technology</v>
      </c>
      <c r="T708" s="5" t="str">
        <v>web</v>
      </c>
    </row>
    <row r="709" spans="1:20" ht="33.75" x14ac:dyDescent="0.4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 s="4">
        <f t="shared" si="44"/>
        <v>158.61643835616439</v>
      </c>
      <c r="K709">
        <v>1544248800</v>
      </c>
      <c r="L709" s="5">
        <f t="shared" si="45"/>
        <v>68.922619047619051</v>
      </c>
      <c r="M709">
        <v>1547359200</v>
      </c>
      <c r="N709" s="9">
        <f t="shared" si="46"/>
        <v>43442.25</v>
      </c>
      <c r="O709" s="9">
        <f t="shared" si="47"/>
        <v>43478.25</v>
      </c>
      <c r="P709" t="b">
        <v>0</v>
      </c>
      <c r="Q709" t="b">
        <v>0</v>
      </c>
      <c r="R709" t="s">
        <v>53</v>
      </c>
      <c r="S709" s="5" t="str" cm="1">
        <f t="array" ref="S709:T709">_xlfn.TEXTSPLIT(R709, "/")</f>
        <v>film &amp; video</v>
      </c>
      <c r="T709" s="5" t="str">
        <v>drama</v>
      </c>
    </row>
    <row r="710" spans="1:20" ht="19.5" x14ac:dyDescent="0.4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 s="4">
        <f t="shared" si="44"/>
        <v>707.05882352941171</v>
      </c>
      <c r="K710">
        <v>1495429200</v>
      </c>
      <c r="L710" s="5">
        <f t="shared" si="45"/>
        <v>87.737226277372258</v>
      </c>
      <c r="M710">
        <v>1496293200</v>
      </c>
      <c r="N710" s="9">
        <f t="shared" si="46"/>
        <v>42877.208333333328</v>
      </c>
      <c r="O710" s="9">
        <f t="shared" si="47"/>
        <v>42887.208333333328</v>
      </c>
      <c r="P710" t="b">
        <v>0</v>
      </c>
      <c r="Q710" t="b">
        <v>0</v>
      </c>
      <c r="R710" t="s">
        <v>33</v>
      </c>
      <c r="S710" s="5" t="str" cm="1">
        <f t="array" ref="S710:T710">_xlfn.TEXTSPLIT(R710, "/")</f>
        <v>theater</v>
      </c>
      <c r="T710" s="5" t="str">
        <v>plays</v>
      </c>
    </row>
    <row r="711" spans="1:20" ht="19.5" x14ac:dyDescent="0.4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 s="4">
        <f t="shared" si="44"/>
        <v>142.38775510204081</v>
      </c>
      <c r="K711">
        <v>1334811600</v>
      </c>
      <c r="L711" s="5">
        <f t="shared" si="45"/>
        <v>75.021505376344081</v>
      </c>
      <c r="M711">
        <v>1335416400</v>
      </c>
      <c r="N711" s="9">
        <f t="shared" si="46"/>
        <v>41018.208333333336</v>
      </c>
      <c r="O711" s="9">
        <f t="shared" si="47"/>
        <v>41025.208333333336</v>
      </c>
      <c r="P711" t="b">
        <v>0</v>
      </c>
      <c r="Q711" t="b">
        <v>0</v>
      </c>
      <c r="R711" t="s">
        <v>33</v>
      </c>
      <c r="S711" s="5" t="str" cm="1">
        <f t="array" ref="S711:T711">_xlfn.TEXTSPLIT(R711, "/")</f>
        <v>theater</v>
      </c>
      <c r="T711" s="5" t="str">
        <v>plays</v>
      </c>
    </row>
    <row r="712" spans="1:20" ht="33.75" x14ac:dyDescent="0.4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 s="4">
        <f t="shared" si="44"/>
        <v>147.86046511627907</v>
      </c>
      <c r="K712">
        <v>1531544400</v>
      </c>
      <c r="L712" s="5">
        <f t="shared" si="45"/>
        <v>50.863999999999997</v>
      </c>
      <c r="M712">
        <v>1532149200</v>
      </c>
      <c r="N712" s="9">
        <f t="shared" si="46"/>
        <v>43295.208333333328</v>
      </c>
      <c r="O712" s="9">
        <f t="shared" si="47"/>
        <v>43302.208333333328</v>
      </c>
      <c r="P712" t="b">
        <v>0</v>
      </c>
      <c r="Q712" t="b">
        <v>1</v>
      </c>
      <c r="R712" t="s">
        <v>33</v>
      </c>
      <c r="S712" s="5" t="str" cm="1">
        <f t="array" ref="S712:T712">_xlfn.TEXTSPLIT(R712, "/")</f>
        <v>theater</v>
      </c>
      <c r="T712" s="5" t="str">
        <v>plays</v>
      </c>
    </row>
    <row r="713" spans="1:20" ht="33.75" x14ac:dyDescent="0.4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 s="4">
        <f t="shared" si="44"/>
        <v>20.322580645161288</v>
      </c>
      <c r="K713">
        <v>1453615200</v>
      </c>
      <c r="L713" s="5">
        <f t="shared" si="45"/>
        <v>90</v>
      </c>
      <c r="M713">
        <v>1453788000</v>
      </c>
      <c r="N713" s="9">
        <f t="shared" si="46"/>
        <v>42393.25</v>
      </c>
      <c r="O713" s="9">
        <f t="shared" si="47"/>
        <v>42395.25</v>
      </c>
      <c r="P713" t="b">
        <v>1</v>
      </c>
      <c r="Q713" t="b">
        <v>1</v>
      </c>
      <c r="R713" t="s">
        <v>33</v>
      </c>
      <c r="S713" s="5" t="str" cm="1">
        <f t="array" ref="S713:T713">_xlfn.TEXTSPLIT(R713, "/")</f>
        <v>theater</v>
      </c>
      <c r="T713" s="5" t="str">
        <v>plays</v>
      </c>
    </row>
    <row r="714" spans="1:20" ht="33.75" x14ac:dyDescent="0.4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 s="4">
        <f t="shared" si="44"/>
        <v>1840.625</v>
      </c>
      <c r="K714">
        <v>1467954000</v>
      </c>
      <c r="L714" s="5">
        <f t="shared" si="45"/>
        <v>72.896039603960389</v>
      </c>
      <c r="M714">
        <v>1471496400</v>
      </c>
      <c r="N714" s="9">
        <f t="shared" si="46"/>
        <v>42559.208333333328</v>
      </c>
      <c r="O714" s="9">
        <f t="shared" si="47"/>
        <v>42600.208333333328</v>
      </c>
      <c r="P714" t="b">
        <v>0</v>
      </c>
      <c r="Q714" t="b">
        <v>0</v>
      </c>
      <c r="R714" t="s">
        <v>33</v>
      </c>
      <c r="S714" s="5" t="str" cm="1">
        <f t="array" ref="S714:T714">_xlfn.TEXTSPLIT(R714, "/")</f>
        <v>theater</v>
      </c>
      <c r="T714" s="5" t="str">
        <v>plays</v>
      </c>
    </row>
    <row r="715" spans="1:20" ht="19.5" x14ac:dyDescent="0.4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 s="4">
        <f t="shared" si="44"/>
        <v>161.94202898550725</v>
      </c>
      <c r="K715">
        <v>1471842000</v>
      </c>
      <c r="L715" s="5">
        <f t="shared" si="45"/>
        <v>108.48543689320388</v>
      </c>
      <c r="M715">
        <v>1472878800</v>
      </c>
      <c r="N715" s="9">
        <f t="shared" si="46"/>
        <v>42604.208333333328</v>
      </c>
      <c r="O715" s="9">
        <f t="shared" si="47"/>
        <v>42616.208333333328</v>
      </c>
      <c r="P715" t="b">
        <v>0</v>
      </c>
      <c r="Q715" t="b">
        <v>0</v>
      </c>
      <c r="R715" t="s">
        <v>133</v>
      </c>
      <c r="S715" s="5" t="str" cm="1">
        <f t="array" ref="S715:T715">_xlfn.TEXTSPLIT(R715, "/")</f>
        <v>publishing</v>
      </c>
      <c r="T715" s="5" t="str">
        <v>radio &amp; podcasts</v>
      </c>
    </row>
    <row r="716" spans="1:20" ht="19.5" x14ac:dyDescent="0.4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 s="4">
        <f t="shared" si="44"/>
        <v>472.82077922077923</v>
      </c>
      <c r="K716">
        <v>1408424400</v>
      </c>
      <c r="L716" s="5">
        <f t="shared" si="45"/>
        <v>101.98095238095237</v>
      </c>
      <c r="M716">
        <v>1408510800</v>
      </c>
      <c r="N716" s="9">
        <f t="shared" si="46"/>
        <v>41870.208333333336</v>
      </c>
      <c r="O716" s="9">
        <f t="shared" si="47"/>
        <v>41871.208333333336</v>
      </c>
      <c r="P716" t="b">
        <v>0</v>
      </c>
      <c r="Q716" t="b">
        <v>0</v>
      </c>
      <c r="R716" t="s">
        <v>23</v>
      </c>
      <c r="S716" s="5" t="str" cm="1">
        <f t="array" ref="S716:T716">_xlfn.TEXTSPLIT(R716, "/")</f>
        <v>music</v>
      </c>
      <c r="T716" s="5" t="str">
        <v>rock</v>
      </c>
    </row>
    <row r="717" spans="1:20" ht="19.5" x14ac:dyDescent="0.4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 s="4">
        <f t="shared" si="44"/>
        <v>24.466101694915253</v>
      </c>
      <c r="K717">
        <v>1281157200</v>
      </c>
      <c r="L717" s="5">
        <f t="shared" si="45"/>
        <v>44.009146341463413</v>
      </c>
      <c r="M717">
        <v>1281589200</v>
      </c>
      <c r="N717" s="9">
        <f t="shared" si="46"/>
        <v>40397.208333333336</v>
      </c>
      <c r="O717" s="9">
        <f t="shared" si="47"/>
        <v>40402.208333333336</v>
      </c>
      <c r="P717" t="b">
        <v>0</v>
      </c>
      <c r="Q717" t="b">
        <v>0</v>
      </c>
      <c r="R717" t="s">
        <v>292</v>
      </c>
      <c r="S717" s="5" t="str" cm="1">
        <f t="array" ref="S717:T717">_xlfn.TEXTSPLIT(R717, "/")</f>
        <v>games</v>
      </c>
      <c r="T717" s="5" t="str">
        <v>mobile games</v>
      </c>
    </row>
    <row r="718" spans="1:20" ht="19.5" x14ac:dyDescent="0.4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 s="4">
        <f t="shared" si="44"/>
        <v>517.65</v>
      </c>
      <c r="K718">
        <v>1373432400</v>
      </c>
      <c r="L718" s="5">
        <f t="shared" si="45"/>
        <v>65.942675159235662</v>
      </c>
      <c r="M718">
        <v>1375851600</v>
      </c>
      <c r="N718" s="9">
        <f t="shared" si="46"/>
        <v>41465.208333333336</v>
      </c>
      <c r="O718" s="9">
        <f t="shared" si="47"/>
        <v>41493.208333333336</v>
      </c>
      <c r="P718" t="b">
        <v>0</v>
      </c>
      <c r="Q718" t="b">
        <v>1</v>
      </c>
      <c r="R718" t="s">
        <v>33</v>
      </c>
      <c r="S718" s="5" t="str" cm="1">
        <f t="array" ref="S718:T718">_xlfn.TEXTSPLIT(R718, "/")</f>
        <v>theater</v>
      </c>
      <c r="T718" s="5" t="str">
        <v>plays</v>
      </c>
    </row>
    <row r="719" spans="1:20" ht="33.75" x14ac:dyDescent="0.4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 s="4">
        <f t="shared" si="44"/>
        <v>247.64285714285714</v>
      </c>
      <c r="K719">
        <v>1313989200</v>
      </c>
      <c r="L719" s="5">
        <f t="shared" si="45"/>
        <v>24.987387387387386</v>
      </c>
      <c r="M719">
        <v>1315803600</v>
      </c>
      <c r="N719" s="9">
        <f t="shared" si="46"/>
        <v>40777.208333333336</v>
      </c>
      <c r="O719" s="9">
        <f t="shared" si="47"/>
        <v>40798.208333333336</v>
      </c>
      <c r="P719" t="b">
        <v>0</v>
      </c>
      <c r="Q719" t="b">
        <v>0</v>
      </c>
      <c r="R719" t="s">
        <v>42</v>
      </c>
      <c r="S719" s="5" t="str" cm="1">
        <f t="array" ref="S719:T719">_xlfn.TEXTSPLIT(R719, "/")</f>
        <v>film &amp; video</v>
      </c>
      <c r="T719" s="5" t="str">
        <v>documentary</v>
      </c>
    </row>
    <row r="720" spans="1:20" ht="19.5" x14ac:dyDescent="0.4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 s="4">
        <f t="shared" si="44"/>
        <v>100.20481927710843</v>
      </c>
      <c r="K720">
        <v>1371445200</v>
      </c>
      <c r="L720" s="5">
        <f t="shared" si="45"/>
        <v>28.003367003367003</v>
      </c>
      <c r="M720">
        <v>1373691600</v>
      </c>
      <c r="N720" s="9">
        <f t="shared" si="46"/>
        <v>41442.208333333336</v>
      </c>
      <c r="O720" s="9">
        <f t="shared" si="47"/>
        <v>41468.208333333336</v>
      </c>
      <c r="P720" t="b">
        <v>0</v>
      </c>
      <c r="Q720" t="b">
        <v>0</v>
      </c>
      <c r="R720" t="s">
        <v>65</v>
      </c>
      <c r="S720" s="5" t="str" cm="1">
        <f t="array" ref="S720:T720">_xlfn.TEXTSPLIT(R720, "/")</f>
        <v>technology</v>
      </c>
      <c r="T720" s="5" t="str">
        <v>wearables</v>
      </c>
    </row>
    <row r="721" spans="1:20" ht="19.5" x14ac:dyDescent="0.4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 s="4">
        <f t="shared" si="44"/>
        <v>153</v>
      </c>
      <c r="K721">
        <v>1338267600</v>
      </c>
      <c r="L721" s="5">
        <f t="shared" si="45"/>
        <v>85.829268292682926</v>
      </c>
      <c r="M721">
        <v>1339218000</v>
      </c>
      <c r="N721" s="9">
        <f t="shared" si="46"/>
        <v>41058.208333333336</v>
      </c>
      <c r="O721" s="9">
        <f t="shared" si="47"/>
        <v>41069.208333333336</v>
      </c>
      <c r="P721" t="b">
        <v>0</v>
      </c>
      <c r="Q721" t="b">
        <v>0</v>
      </c>
      <c r="R721" t="s">
        <v>119</v>
      </c>
      <c r="S721" s="5" t="str" cm="1">
        <f t="array" ref="S721:T721">_xlfn.TEXTSPLIT(R721, "/")</f>
        <v>publishing</v>
      </c>
      <c r="T721" s="5" t="str">
        <v>fiction</v>
      </c>
    </row>
    <row r="722" spans="1:20" ht="33.75" x14ac:dyDescent="0.4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 s="4">
        <f t="shared" si="44"/>
        <v>37.091954022988503</v>
      </c>
      <c r="K722">
        <v>1519192800</v>
      </c>
      <c r="L722" s="5">
        <f t="shared" si="45"/>
        <v>84.921052631578945</v>
      </c>
      <c r="M722">
        <v>1520402400</v>
      </c>
      <c r="N722" s="9">
        <f t="shared" si="46"/>
        <v>43152.25</v>
      </c>
      <c r="O722" s="9">
        <f t="shared" si="47"/>
        <v>43166.25</v>
      </c>
      <c r="P722" t="b">
        <v>0</v>
      </c>
      <c r="Q722" t="b">
        <v>1</v>
      </c>
      <c r="R722" t="s">
        <v>33</v>
      </c>
      <c r="S722" s="5" t="str" cm="1">
        <f t="array" ref="S722:T722">_xlfn.TEXTSPLIT(R722, "/")</f>
        <v>theater</v>
      </c>
      <c r="T722" s="5" t="str">
        <v>plays</v>
      </c>
    </row>
    <row r="723" spans="1:20" ht="19.5" x14ac:dyDescent="0.4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 s="4">
        <f t="shared" si="44"/>
        <v>4.392394822006473</v>
      </c>
      <c r="K723">
        <v>1522818000</v>
      </c>
      <c r="L723" s="5">
        <f t="shared" si="45"/>
        <v>90.483333333333334</v>
      </c>
      <c r="M723">
        <v>1523336400</v>
      </c>
      <c r="N723" s="9">
        <f t="shared" si="46"/>
        <v>43194.208333333328</v>
      </c>
      <c r="O723" s="9">
        <f t="shared" si="47"/>
        <v>43200.208333333328</v>
      </c>
      <c r="P723" t="b">
        <v>0</v>
      </c>
      <c r="Q723" t="b">
        <v>0</v>
      </c>
      <c r="R723" t="s">
        <v>23</v>
      </c>
      <c r="S723" s="5" t="str" cm="1">
        <f t="array" ref="S723:T723">_xlfn.TEXTSPLIT(R723, "/")</f>
        <v>music</v>
      </c>
      <c r="T723" s="5" t="str">
        <v>rock</v>
      </c>
    </row>
    <row r="724" spans="1:20" ht="19.5" x14ac:dyDescent="0.4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 s="4">
        <f t="shared" si="44"/>
        <v>156.50721649484535</v>
      </c>
      <c r="K724">
        <v>1509948000</v>
      </c>
      <c r="L724" s="5">
        <f t="shared" si="45"/>
        <v>25.00197628458498</v>
      </c>
      <c r="M724">
        <v>1512280800</v>
      </c>
      <c r="N724" s="9">
        <f t="shared" si="46"/>
        <v>43045.25</v>
      </c>
      <c r="O724" s="9">
        <f t="shared" si="47"/>
        <v>43072.25</v>
      </c>
      <c r="P724" t="b">
        <v>0</v>
      </c>
      <c r="Q724" t="b">
        <v>0</v>
      </c>
      <c r="R724" t="s">
        <v>42</v>
      </c>
      <c r="S724" s="5" t="str" cm="1">
        <f t="array" ref="S724:T724">_xlfn.TEXTSPLIT(R724, "/")</f>
        <v>film &amp; video</v>
      </c>
      <c r="T724" s="5" t="str">
        <v>documentary</v>
      </c>
    </row>
    <row r="725" spans="1:20" ht="19.5" x14ac:dyDescent="0.4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 s="4">
        <f t="shared" si="44"/>
        <v>270.40816326530609</v>
      </c>
      <c r="K725">
        <v>1456898400</v>
      </c>
      <c r="L725" s="5">
        <f t="shared" si="45"/>
        <v>92.013888888888886</v>
      </c>
      <c r="M725">
        <v>1458709200</v>
      </c>
      <c r="N725" s="9">
        <f t="shared" si="46"/>
        <v>42431.25</v>
      </c>
      <c r="O725" s="9">
        <f t="shared" si="47"/>
        <v>42452.208333333328</v>
      </c>
      <c r="P725" t="b">
        <v>0</v>
      </c>
      <c r="Q725" t="b">
        <v>0</v>
      </c>
      <c r="R725" t="s">
        <v>33</v>
      </c>
      <c r="S725" s="5" t="str" cm="1">
        <f t="array" ref="S725:T725">_xlfn.TEXTSPLIT(R725, "/")</f>
        <v>theater</v>
      </c>
      <c r="T725" s="5" t="str">
        <v>plays</v>
      </c>
    </row>
    <row r="726" spans="1:20" ht="33.75" x14ac:dyDescent="0.4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 s="4">
        <f t="shared" si="44"/>
        <v>134.05952380952382</v>
      </c>
      <c r="K726">
        <v>1413954000</v>
      </c>
      <c r="L726" s="5">
        <f t="shared" si="45"/>
        <v>93.066115702479337</v>
      </c>
      <c r="M726">
        <v>1414126800</v>
      </c>
      <c r="N726" s="9">
        <f t="shared" si="46"/>
        <v>41934.208333333336</v>
      </c>
      <c r="O726" s="9">
        <f t="shared" si="47"/>
        <v>41936.208333333336</v>
      </c>
      <c r="P726" t="b">
        <v>0</v>
      </c>
      <c r="Q726" t="b">
        <v>1</v>
      </c>
      <c r="R726" t="s">
        <v>33</v>
      </c>
      <c r="S726" s="5" t="str" cm="1">
        <f t="array" ref="S726:T726">_xlfn.TEXTSPLIT(R726, "/")</f>
        <v>theater</v>
      </c>
      <c r="T726" s="5" t="str">
        <v>plays</v>
      </c>
    </row>
    <row r="727" spans="1:20" ht="19.5" x14ac:dyDescent="0.4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 s="4">
        <f t="shared" si="44"/>
        <v>50.398033126293996</v>
      </c>
      <c r="K727">
        <v>1416031200</v>
      </c>
      <c r="L727" s="5">
        <f t="shared" si="45"/>
        <v>61.008145363408524</v>
      </c>
      <c r="M727">
        <v>1416204000</v>
      </c>
      <c r="N727" s="9">
        <f t="shared" si="46"/>
        <v>41958.25</v>
      </c>
      <c r="O727" s="9">
        <f t="shared" si="47"/>
        <v>41960.25</v>
      </c>
      <c r="P727" t="b">
        <v>0</v>
      </c>
      <c r="Q727" t="b">
        <v>0</v>
      </c>
      <c r="R727" t="s">
        <v>292</v>
      </c>
      <c r="S727" s="5" t="str" cm="1">
        <f t="array" ref="S727:T727">_xlfn.TEXTSPLIT(R727, "/")</f>
        <v>games</v>
      </c>
      <c r="T727" s="5" t="str">
        <v>mobile games</v>
      </c>
    </row>
    <row r="728" spans="1:20" ht="19.5" x14ac:dyDescent="0.4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 s="4">
        <f t="shared" si="44"/>
        <v>88.815837937384899</v>
      </c>
      <c r="K728">
        <v>1287982800</v>
      </c>
      <c r="L728" s="5">
        <f t="shared" si="45"/>
        <v>92.036259541984734</v>
      </c>
      <c r="M728">
        <v>1288501200</v>
      </c>
      <c r="N728" s="9">
        <f t="shared" si="46"/>
        <v>40476.208333333336</v>
      </c>
      <c r="O728" s="9">
        <f t="shared" si="47"/>
        <v>40482.208333333336</v>
      </c>
      <c r="P728" t="b">
        <v>0</v>
      </c>
      <c r="Q728" t="b">
        <v>1</v>
      </c>
      <c r="R728" t="s">
        <v>33</v>
      </c>
      <c r="S728" s="5" t="str" cm="1">
        <f t="array" ref="S728:T728">_xlfn.TEXTSPLIT(R728, "/")</f>
        <v>theater</v>
      </c>
      <c r="T728" s="5" t="str">
        <v>plays</v>
      </c>
    </row>
    <row r="729" spans="1:20" ht="19.5" x14ac:dyDescent="0.4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 s="4">
        <f t="shared" si="44"/>
        <v>165</v>
      </c>
      <c r="K729">
        <v>1547964000</v>
      </c>
      <c r="L729" s="5">
        <f t="shared" si="45"/>
        <v>81.132596685082873</v>
      </c>
      <c r="M729">
        <v>1552971600</v>
      </c>
      <c r="N729" s="9">
        <f t="shared" si="46"/>
        <v>43485.25</v>
      </c>
      <c r="O729" s="9">
        <f t="shared" si="47"/>
        <v>43543.208333333328</v>
      </c>
      <c r="P729" t="b">
        <v>0</v>
      </c>
      <c r="Q729" t="b">
        <v>0</v>
      </c>
      <c r="R729" t="s">
        <v>28</v>
      </c>
      <c r="S729" s="5" t="str" cm="1">
        <f t="array" ref="S729:T729">_xlfn.TEXTSPLIT(R729, "/")</f>
        <v>technology</v>
      </c>
      <c r="T729" s="5" t="str">
        <v>web</v>
      </c>
    </row>
    <row r="730" spans="1:20" ht="33.75" x14ac:dyDescent="0.4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 s="4">
        <f t="shared" si="44"/>
        <v>17.5</v>
      </c>
      <c r="K730">
        <v>1464152400</v>
      </c>
      <c r="L730" s="5">
        <f t="shared" si="45"/>
        <v>73.5</v>
      </c>
      <c r="M730">
        <v>1465102800</v>
      </c>
      <c r="N730" s="9">
        <f t="shared" si="46"/>
        <v>42515.208333333328</v>
      </c>
      <c r="O730" s="9">
        <f t="shared" si="47"/>
        <v>42526.208333333328</v>
      </c>
      <c r="P730" t="b">
        <v>0</v>
      </c>
      <c r="Q730" t="b">
        <v>0</v>
      </c>
      <c r="R730" t="s">
        <v>33</v>
      </c>
      <c r="S730" s="5" t="str" cm="1">
        <f t="array" ref="S730:T730">_xlfn.TEXTSPLIT(R730, "/")</f>
        <v>theater</v>
      </c>
      <c r="T730" s="5" t="str">
        <v>plays</v>
      </c>
    </row>
    <row r="731" spans="1:20" ht="33.75" x14ac:dyDescent="0.4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 s="4">
        <f t="shared" si="44"/>
        <v>185.66071428571428</v>
      </c>
      <c r="K731">
        <v>1359957600</v>
      </c>
      <c r="L731" s="5">
        <f t="shared" si="45"/>
        <v>85.221311475409834</v>
      </c>
      <c r="M731">
        <v>1360130400</v>
      </c>
      <c r="N731" s="9">
        <f t="shared" si="46"/>
        <v>41309.25</v>
      </c>
      <c r="O731" s="9">
        <f t="shared" si="47"/>
        <v>41311.25</v>
      </c>
      <c r="P731" t="b">
        <v>0</v>
      </c>
      <c r="Q731" t="b">
        <v>0</v>
      </c>
      <c r="R731" t="s">
        <v>53</v>
      </c>
      <c r="S731" s="5" t="str" cm="1">
        <f t="array" ref="S731:T731">_xlfn.TEXTSPLIT(R731, "/")</f>
        <v>film &amp; video</v>
      </c>
      <c r="T731" s="5" t="str">
        <v>drama</v>
      </c>
    </row>
    <row r="732" spans="1:20" ht="19.5" x14ac:dyDescent="0.4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 s="4">
        <f t="shared" si="44"/>
        <v>412.6631944444444</v>
      </c>
      <c r="K732">
        <v>1432357200</v>
      </c>
      <c r="L732" s="5">
        <f t="shared" si="45"/>
        <v>110.96825396825396</v>
      </c>
      <c r="M732">
        <v>1432875600</v>
      </c>
      <c r="N732" s="9">
        <f t="shared" si="46"/>
        <v>42147.208333333328</v>
      </c>
      <c r="O732" s="9">
        <f t="shared" si="47"/>
        <v>42153.208333333328</v>
      </c>
      <c r="P732" t="b">
        <v>0</v>
      </c>
      <c r="Q732" t="b">
        <v>0</v>
      </c>
      <c r="R732" t="s">
        <v>65</v>
      </c>
      <c r="S732" s="5" t="str" cm="1">
        <f t="array" ref="S732:T732">_xlfn.TEXTSPLIT(R732, "/")</f>
        <v>technology</v>
      </c>
      <c r="T732" s="5" t="str">
        <v>wearables</v>
      </c>
    </row>
    <row r="733" spans="1:20" ht="19.5" x14ac:dyDescent="0.4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 s="4">
        <f t="shared" si="44"/>
        <v>90.25</v>
      </c>
      <c r="K733">
        <v>1500786000</v>
      </c>
      <c r="L733" s="5">
        <f t="shared" si="45"/>
        <v>32.968036529680369</v>
      </c>
      <c r="M733">
        <v>1500872400</v>
      </c>
      <c r="N733" s="9">
        <f t="shared" si="46"/>
        <v>42939.208333333328</v>
      </c>
      <c r="O733" s="9">
        <f t="shared" si="47"/>
        <v>42940.208333333328</v>
      </c>
      <c r="P733" t="b">
        <v>0</v>
      </c>
      <c r="Q733" t="b">
        <v>0</v>
      </c>
      <c r="R733" t="s">
        <v>28</v>
      </c>
      <c r="S733" s="5" t="str" cm="1">
        <f t="array" ref="S733:T733">_xlfn.TEXTSPLIT(R733, "/")</f>
        <v>technology</v>
      </c>
      <c r="T733" s="5" t="str">
        <v>web</v>
      </c>
    </row>
    <row r="734" spans="1:20" ht="19.5" x14ac:dyDescent="0.4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 s="4">
        <f t="shared" si="44"/>
        <v>91.984615384615381</v>
      </c>
      <c r="K734">
        <v>1490158800</v>
      </c>
      <c r="L734" s="5">
        <f t="shared" si="45"/>
        <v>96.005352363960753</v>
      </c>
      <c r="M734">
        <v>1492146000</v>
      </c>
      <c r="N734" s="9">
        <f t="shared" si="46"/>
        <v>42816.208333333328</v>
      </c>
      <c r="O734" s="9">
        <f t="shared" si="47"/>
        <v>42839.208333333328</v>
      </c>
      <c r="P734" t="b">
        <v>0</v>
      </c>
      <c r="Q734" t="b">
        <v>1</v>
      </c>
      <c r="R734" t="s">
        <v>23</v>
      </c>
      <c r="S734" s="5" t="str" cm="1">
        <f t="array" ref="S734:T734">_xlfn.TEXTSPLIT(R734, "/")</f>
        <v>music</v>
      </c>
      <c r="T734" s="5" t="str">
        <v>rock</v>
      </c>
    </row>
    <row r="735" spans="1:20" ht="19.5" x14ac:dyDescent="0.4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 s="4">
        <f t="shared" si="44"/>
        <v>527.00632911392404</v>
      </c>
      <c r="K735">
        <v>1406178000</v>
      </c>
      <c r="L735" s="5">
        <f t="shared" si="45"/>
        <v>84.96632653061225</v>
      </c>
      <c r="M735">
        <v>1407301200</v>
      </c>
      <c r="N735" s="9">
        <f t="shared" si="46"/>
        <v>41844.208333333336</v>
      </c>
      <c r="O735" s="9">
        <f t="shared" si="47"/>
        <v>41857.208333333336</v>
      </c>
      <c r="P735" t="b">
        <v>0</v>
      </c>
      <c r="Q735" t="b">
        <v>0</v>
      </c>
      <c r="R735" t="s">
        <v>148</v>
      </c>
      <c r="S735" s="5" t="str" cm="1">
        <f t="array" ref="S735:T735">_xlfn.TEXTSPLIT(R735, "/")</f>
        <v>music</v>
      </c>
      <c r="T735" s="5" t="str">
        <v>metal</v>
      </c>
    </row>
    <row r="736" spans="1:20" ht="19.5" x14ac:dyDescent="0.4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 s="4">
        <f t="shared" si="44"/>
        <v>319.14285714285711</v>
      </c>
      <c r="K736">
        <v>1485583200</v>
      </c>
      <c r="L736" s="5">
        <f t="shared" si="45"/>
        <v>25.007462686567163</v>
      </c>
      <c r="M736">
        <v>1486620000</v>
      </c>
      <c r="N736" s="9">
        <f t="shared" si="46"/>
        <v>42763.25</v>
      </c>
      <c r="O736" s="9">
        <f t="shared" si="47"/>
        <v>42775.25</v>
      </c>
      <c r="P736" t="b">
        <v>0</v>
      </c>
      <c r="Q736" t="b">
        <v>1</v>
      </c>
      <c r="R736" t="s">
        <v>33</v>
      </c>
      <c r="S736" s="5" t="str" cm="1">
        <f t="array" ref="S736:T736">_xlfn.TEXTSPLIT(R736, "/")</f>
        <v>theater</v>
      </c>
      <c r="T736" s="5" t="str">
        <v>plays</v>
      </c>
    </row>
    <row r="737" spans="1:20" ht="33.75" x14ac:dyDescent="0.4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 s="4">
        <f t="shared" si="44"/>
        <v>354.18867924528303</v>
      </c>
      <c r="K737">
        <v>1459314000</v>
      </c>
      <c r="L737" s="5">
        <f t="shared" si="45"/>
        <v>65.998995479658461</v>
      </c>
      <c r="M737">
        <v>1459918800</v>
      </c>
      <c r="N737" s="9">
        <f t="shared" si="46"/>
        <v>42459.208333333328</v>
      </c>
      <c r="O737" s="9">
        <f t="shared" si="47"/>
        <v>42466.208333333328</v>
      </c>
      <c r="P737" t="b">
        <v>0</v>
      </c>
      <c r="Q737" t="b">
        <v>0</v>
      </c>
      <c r="R737" t="s">
        <v>122</v>
      </c>
      <c r="S737" s="5" t="str" cm="1">
        <f t="array" ref="S737:T737">_xlfn.TEXTSPLIT(R737, "/")</f>
        <v>photography</v>
      </c>
      <c r="T737" s="5" t="str">
        <v>photography books</v>
      </c>
    </row>
    <row r="738" spans="1:20" ht="19.5" x14ac:dyDescent="0.4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 s="4">
        <f t="shared" si="44"/>
        <v>32.896103896103895</v>
      </c>
      <c r="K738">
        <v>1424412000</v>
      </c>
      <c r="L738" s="5">
        <f t="shared" si="45"/>
        <v>87.34482758620689</v>
      </c>
      <c r="M738">
        <v>1424757600</v>
      </c>
      <c r="N738" s="9">
        <f t="shared" si="46"/>
        <v>42055.25</v>
      </c>
      <c r="O738" s="9">
        <f t="shared" si="47"/>
        <v>42059.25</v>
      </c>
      <c r="P738" t="b">
        <v>0</v>
      </c>
      <c r="Q738" t="b">
        <v>0</v>
      </c>
      <c r="R738" t="s">
        <v>68</v>
      </c>
      <c r="S738" s="5" t="str" cm="1">
        <f t="array" ref="S738:T738">_xlfn.TEXTSPLIT(R738, "/")</f>
        <v>publishing</v>
      </c>
      <c r="T738" s="5" t="str">
        <v>nonfiction</v>
      </c>
    </row>
    <row r="739" spans="1:20" ht="33.75" x14ac:dyDescent="0.4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 s="4">
        <f t="shared" si="44"/>
        <v>135.8918918918919</v>
      </c>
      <c r="K739">
        <v>1478844000</v>
      </c>
      <c r="L739" s="5">
        <f t="shared" si="45"/>
        <v>27.933333333333334</v>
      </c>
      <c r="M739">
        <v>1479880800</v>
      </c>
      <c r="N739" s="9">
        <f t="shared" si="46"/>
        <v>42685.25</v>
      </c>
      <c r="O739" s="9">
        <f t="shared" si="47"/>
        <v>42697.25</v>
      </c>
      <c r="P739" t="b">
        <v>0</v>
      </c>
      <c r="Q739" t="b">
        <v>0</v>
      </c>
      <c r="R739" t="s">
        <v>60</v>
      </c>
      <c r="S739" s="5" t="str" cm="1">
        <f t="array" ref="S739:T739">_xlfn.TEXTSPLIT(R739, "/")</f>
        <v>music</v>
      </c>
      <c r="T739" s="5" t="str">
        <v>indie rock</v>
      </c>
    </row>
    <row r="740" spans="1:20" ht="19.5" x14ac:dyDescent="0.4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 s="4">
        <f t="shared" si="44"/>
        <v>2.0843373493975905</v>
      </c>
      <c r="K740">
        <v>1416117600</v>
      </c>
      <c r="L740" s="5">
        <f t="shared" si="45"/>
        <v>103.8</v>
      </c>
      <c r="M740">
        <v>1418018400</v>
      </c>
      <c r="N740" s="9">
        <f t="shared" si="46"/>
        <v>41959.25</v>
      </c>
      <c r="O740" s="9">
        <f t="shared" si="47"/>
        <v>41981.25</v>
      </c>
      <c r="P740" t="b">
        <v>0</v>
      </c>
      <c r="Q740" t="b">
        <v>1</v>
      </c>
      <c r="R740" t="s">
        <v>33</v>
      </c>
      <c r="S740" s="5" t="str" cm="1">
        <f t="array" ref="S740:T740">_xlfn.TEXTSPLIT(R740, "/")</f>
        <v>theater</v>
      </c>
      <c r="T740" s="5" t="str">
        <v>plays</v>
      </c>
    </row>
    <row r="741" spans="1:20" ht="19.5" x14ac:dyDescent="0.4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 s="4">
        <f t="shared" si="44"/>
        <v>61</v>
      </c>
      <c r="K741">
        <v>1340946000</v>
      </c>
      <c r="L741" s="5">
        <f t="shared" si="45"/>
        <v>31.937172774869111</v>
      </c>
      <c r="M741">
        <v>1341032400</v>
      </c>
      <c r="N741" s="9">
        <f t="shared" si="46"/>
        <v>41089.208333333336</v>
      </c>
      <c r="O741" s="9">
        <f t="shared" si="47"/>
        <v>41090.208333333336</v>
      </c>
      <c r="P741" t="b">
        <v>0</v>
      </c>
      <c r="Q741" t="b">
        <v>0</v>
      </c>
      <c r="R741" t="s">
        <v>60</v>
      </c>
      <c r="S741" s="5" t="str" cm="1">
        <f t="array" ref="S741:T741">_xlfn.TEXTSPLIT(R741, "/")</f>
        <v>music</v>
      </c>
      <c r="T741" s="5" t="str">
        <v>indie rock</v>
      </c>
    </row>
    <row r="742" spans="1:20" ht="19.5" x14ac:dyDescent="0.4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 s="4">
        <f t="shared" si="44"/>
        <v>30.037735849056602</v>
      </c>
      <c r="K742">
        <v>1486101600</v>
      </c>
      <c r="L742" s="5">
        <f t="shared" si="45"/>
        <v>99.5</v>
      </c>
      <c r="M742">
        <v>1486360800</v>
      </c>
      <c r="N742" s="9">
        <f t="shared" si="46"/>
        <v>42769.25</v>
      </c>
      <c r="O742" s="9">
        <f t="shared" si="47"/>
        <v>42772.25</v>
      </c>
      <c r="P742" t="b">
        <v>0</v>
      </c>
      <c r="Q742" t="b">
        <v>0</v>
      </c>
      <c r="R742" t="s">
        <v>33</v>
      </c>
      <c r="S742" s="5" t="str" cm="1">
        <f t="array" ref="S742:T742">_xlfn.TEXTSPLIT(R742, "/")</f>
        <v>theater</v>
      </c>
      <c r="T742" s="5" t="str">
        <v>plays</v>
      </c>
    </row>
    <row r="743" spans="1:20" ht="19.5" x14ac:dyDescent="0.4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 s="4">
        <f t="shared" si="44"/>
        <v>1179.1666666666665</v>
      </c>
      <c r="K743">
        <v>1274590800</v>
      </c>
      <c r="L743" s="5">
        <f t="shared" si="45"/>
        <v>108.84615384615384</v>
      </c>
      <c r="M743">
        <v>1274677200</v>
      </c>
      <c r="N743" s="9">
        <f t="shared" si="46"/>
        <v>40321.208333333336</v>
      </c>
      <c r="O743" s="9">
        <f t="shared" si="47"/>
        <v>40322.208333333336</v>
      </c>
      <c r="P743" t="b">
        <v>0</v>
      </c>
      <c r="Q743" t="b">
        <v>0</v>
      </c>
      <c r="R743" t="s">
        <v>33</v>
      </c>
      <c r="S743" s="5" t="str" cm="1">
        <f t="array" ref="S743:T743">_xlfn.TEXTSPLIT(R743, "/")</f>
        <v>theater</v>
      </c>
      <c r="T743" s="5" t="str">
        <v>plays</v>
      </c>
    </row>
    <row r="744" spans="1:20" ht="19.5" x14ac:dyDescent="0.4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 s="4">
        <f t="shared" si="44"/>
        <v>1126.0833333333335</v>
      </c>
      <c r="K744">
        <v>1263880800</v>
      </c>
      <c r="L744" s="5">
        <f t="shared" si="45"/>
        <v>110.76229508196721</v>
      </c>
      <c r="M744">
        <v>1267509600</v>
      </c>
      <c r="N744" s="9">
        <f t="shared" si="46"/>
        <v>40197.25</v>
      </c>
      <c r="O744" s="9">
        <f t="shared" si="47"/>
        <v>40239.25</v>
      </c>
      <c r="P744" t="b">
        <v>0</v>
      </c>
      <c r="Q744" t="b">
        <v>0</v>
      </c>
      <c r="R744" t="s">
        <v>50</v>
      </c>
      <c r="S744" s="5" t="str" cm="1">
        <f t="array" ref="S744:T744">_xlfn.TEXTSPLIT(R744, "/")</f>
        <v>music</v>
      </c>
      <c r="T744" s="5" t="str">
        <v>electric music</v>
      </c>
    </row>
    <row r="745" spans="1:20" ht="33.75" x14ac:dyDescent="0.4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 s="4">
        <f t="shared" si="44"/>
        <v>12.923076923076923</v>
      </c>
      <c r="K745">
        <v>1445403600</v>
      </c>
      <c r="L745" s="5">
        <f t="shared" si="45"/>
        <v>29.647058823529413</v>
      </c>
      <c r="M745">
        <v>1445922000</v>
      </c>
      <c r="N745" s="9">
        <f t="shared" si="46"/>
        <v>42298.208333333328</v>
      </c>
      <c r="O745" s="9">
        <f t="shared" si="47"/>
        <v>42304.208333333328</v>
      </c>
      <c r="P745" t="b">
        <v>0</v>
      </c>
      <c r="Q745" t="b">
        <v>1</v>
      </c>
      <c r="R745" t="s">
        <v>33</v>
      </c>
      <c r="S745" s="5" t="str" cm="1">
        <f t="array" ref="S745:T745">_xlfn.TEXTSPLIT(R745, "/")</f>
        <v>theater</v>
      </c>
      <c r="T745" s="5" t="str">
        <v>plays</v>
      </c>
    </row>
    <row r="746" spans="1:20" ht="19.5" x14ac:dyDescent="0.4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 s="4">
        <f t="shared" si="44"/>
        <v>712</v>
      </c>
      <c r="K746">
        <v>1533877200</v>
      </c>
      <c r="L746" s="5">
        <f t="shared" si="45"/>
        <v>101.71428571428571</v>
      </c>
      <c r="M746">
        <v>1534050000</v>
      </c>
      <c r="N746" s="9">
        <f t="shared" si="46"/>
        <v>43322.208333333328</v>
      </c>
      <c r="O746" s="9">
        <f t="shared" si="47"/>
        <v>43324.208333333328</v>
      </c>
      <c r="P746" t="b">
        <v>0</v>
      </c>
      <c r="Q746" t="b">
        <v>1</v>
      </c>
      <c r="R746" t="s">
        <v>33</v>
      </c>
      <c r="S746" s="5" t="str" cm="1">
        <f t="array" ref="S746:T746">_xlfn.TEXTSPLIT(R746, "/")</f>
        <v>theater</v>
      </c>
      <c r="T746" s="5" t="str">
        <v>plays</v>
      </c>
    </row>
    <row r="747" spans="1:20" ht="33.75" x14ac:dyDescent="0.4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 s="4">
        <f t="shared" si="44"/>
        <v>30.304347826086957</v>
      </c>
      <c r="K747">
        <v>1275195600</v>
      </c>
      <c r="L747" s="5">
        <f t="shared" si="45"/>
        <v>61.5</v>
      </c>
      <c r="M747">
        <v>1277528400</v>
      </c>
      <c r="N747" s="9">
        <f t="shared" si="46"/>
        <v>40328.208333333336</v>
      </c>
      <c r="O747" s="9">
        <f t="shared" si="47"/>
        <v>40355.208333333336</v>
      </c>
      <c r="P747" t="b">
        <v>0</v>
      </c>
      <c r="Q747" t="b">
        <v>0</v>
      </c>
      <c r="R747" t="s">
        <v>65</v>
      </c>
      <c r="S747" s="5" t="str" cm="1">
        <f t="array" ref="S747:T747">_xlfn.TEXTSPLIT(R747, "/")</f>
        <v>technology</v>
      </c>
      <c r="T747" s="5" t="str">
        <v>wearables</v>
      </c>
    </row>
    <row r="748" spans="1:20" ht="19.5" x14ac:dyDescent="0.4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 s="4">
        <f t="shared" si="44"/>
        <v>212.50896057347671</v>
      </c>
      <c r="K748">
        <v>1318136400</v>
      </c>
      <c r="L748" s="5">
        <f t="shared" si="45"/>
        <v>35</v>
      </c>
      <c r="M748">
        <v>1318568400</v>
      </c>
      <c r="N748" s="9">
        <f t="shared" si="46"/>
        <v>40825.208333333336</v>
      </c>
      <c r="O748" s="9">
        <f t="shared" si="47"/>
        <v>40830.208333333336</v>
      </c>
      <c r="P748" t="b">
        <v>0</v>
      </c>
      <c r="Q748" t="b">
        <v>0</v>
      </c>
      <c r="R748" t="s">
        <v>28</v>
      </c>
      <c r="S748" s="5" t="str" cm="1">
        <f t="array" ref="S748:T748">_xlfn.TEXTSPLIT(R748, "/")</f>
        <v>technology</v>
      </c>
      <c r="T748" s="5" t="str">
        <v>web</v>
      </c>
    </row>
    <row r="749" spans="1:20" ht="19.5" x14ac:dyDescent="0.4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 s="4">
        <f t="shared" si="44"/>
        <v>228.85714285714286</v>
      </c>
      <c r="K749">
        <v>1283403600</v>
      </c>
      <c r="L749" s="5">
        <f t="shared" si="45"/>
        <v>40.049999999999997</v>
      </c>
      <c r="M749">
        <v>1284354000</v>
      </c>
      <c r="N749" s="9">
        <f t="shared" si="46"/>
        <v>40423.208333333336</v>
      </c>
      <c r="O749" s="9">
        <f t="shared" si="47"/>
        <v>40434.208333333336</v>
      </c>
      <c r="P749" t="b">
        <v>0</v>
      </c>
      <c r="Q749" t="b">
        <v>0</v>
      </c>
      <c r="R749" t="s">
        <v>33</v>
      </c>
      <c r="S749" s="5" t="str" cm="1">
        <f t="array" ref="S749:T749">_xlfn.TEXTSPLIT(R749, "/")</f>
        <v>theater</v>
      </c>
      <c r="T749" s="5" t="str">
        <v>plays</v>
      </c>
    </row>
    <row r="750" spans="1:20" ht="19.5" x14ac:dyDescent="0.4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 s="4">
        <f t="shared" si="44"/>
        <v>34.959979476654695</v>
      </c>
      <c r="K750">
        <v>1267423200</v>
      </c>
      <c r="L750" s="5">
        <f t="shared" si="45"/>
        <v>110.97231270358306</v>
      </c>
      <c r="M750">
        <v>1269579600</v>
      </c>
      <c r="N750" s="9">
        <f t="shared" si="46"/>
        <v>40238.25</v>
      </c>
      <c r="O750" s="9">
        <f t="shared" si="47"/>
        <v>40263.208333333336</v>
      </c>
      <c r="P750" t="b">
        <v>0</v>
      </c>
      <c r="Q750" t="b">
        <v>1</v>
      </c>
      <c r="R750" t="s">
        <v>71</v>
      </c>
      <c r="S750" s="5" t="str" cm="1">
        <f t="array" ref="S750:T750">_xlfn.TEXTSPLIT(R750, "/")</f>
        <v>film &amp; video</v>
      </c>
      <c r="T750" s="5" t="str">
        <v>animation</v>
      </c>
    </row>
    <row r="751" spans="1:20" ht="19.5" x14ac:dyDescent="0.4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 s="4">
        <f t="shared" si="44"/>
        <v>157.29069767441862</v>
      </c>
      <c r="K751">
        <v>1412744400</v>
      </c>
      <c r="L751" s="5">
        <f t="shared" si="45"/>
        <v>36.959016393442624</v>
      </c>
      <c r="M751">
        <v>1413781200</v>
      </c>
      <c r="N751" s="9">
        <f t="shared" si="46"/>
        <v>41920.208333333336</v>
      </c>
      <c r="O751" s="9">
        <f t="shared" si="47"/>
        <v>41932.208333333336</v>
      </c>
      <c r="P751" t="b">
        <v>0</v>
      </c>
      <c r="Q751" t="b">
        <v>1</v>
      </c>
      <c r="R751" t="s">
        <v>65</v>
      </c>
      <c r="S751" s="5" t="str" cm="1">
        <f t="array" ref="S751:T751">_xlfn.TEXTSPLIT(R751, "/")</f>
        <v>technology</v>
      </c>
      <c r="T751" s="5" t="str">
        <v>wearables</v>
      </c>
    </row>
    <row r="752" spans="1:20" ht="19.5" x14ac:dyDescent="0.4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 s="4">
        <f t="shared" si="44"/>
        <v>1</v>
      </c>
      <c r="K752">
        <v>1277960400</v>
      </c>
      <c r="L752" s="5">
        <f t="shared" si="45"/>
        <v>1</v>
      </c>
      <c r="M752">
        <v>1280120400</v>
      </c>
      <c r="N752" s="9">
        <f t="shared" si="46"/>
        <v>40360.208333333336</v>
      </c>
      <c r="O752" s="9">
        <f t="shared" si="47"/>
        <v>40385.208333333336</v>
      </c>
      <c r="P752" t="b">
        <v>0</v>
      </c>
      <c r="Q752" t="b">
        <v>0</v>
      </c>
      <c r="R752" t="s">
        <v>50</v>
      </c>
      <c r="S752" s="5" t="str" cm="1">
        <f t="array" ref="S752:T752">_xlfn.TEXTSPLIT(R752, "/")</f>
        <v>music</v>
      </c>
      <c r="T752" s="5" t="str">
        <v>electric music</v>
      </c>
    </row>
    <row r="753" spans="1:20" ht="19.5" x14ac:dyDescent="0.4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 s="4">
        <f t="shared" si="44"/>
        <v>232.30555555555554</v>
      </c>
      <c r="K753">
        <v>1458190800</v>
      </c>
      <c r="L753" s="5">
        <f t="shared" si="45"/>
        <v>30.974074074074075</v>
      </c>
      <c r="M753">
        <v>1459486800</v>
      </c>
      <c r="N753" s="9">
        <f t="shared" si="46"/>
        <v>42446.208333333328</v>
      </c>
      <c r="O753" s="9">
        <f t="shared" si="47"/>
        <v>42461.208333333328</v>
      </c>
      <c r="P753" t="b">
        <v>1</v>
      </c>
      <c r="Q753" t="b">
        <v>1</v>
      </c>
      <c r="R753" t="s">
        <v>68</v>
      </c>
      <c r="S753" s="5" t="str" cm="1">
        <f t="array" ref="S753:T753">_xlfn.TEXTSPLIT(R753, "/")</f>
        <v>publishing</v>
      </c>
      <c r="T753" s="5" t="str">
        <v>nonfiction</v>
      </c>
    </row>
    <row r="754" spans="1:20" ht="19.5" x14ac:dyDescent="0.4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 s="4">
        <f t="shared" si="44"/>
        <v>92.448275862068968</v>
      </c>
      <c r="K754">
        <v>1280984400</v>
      </c>
      <c r="L754" s="5">
        <f t="shared" si="45"/>
        <v>47.035087719298247</v>
      </c>
      <c r="M754">
        <v>1282539600</v>
      </c>
      <c r="N754" s="9">
        <f t="shared" si="46"/>
        <v>40395.208333333336</v>
      </c>
      <c r="O754" s="9">
        <f t="shared" si="47"/>
        <v>40413.208333333336</v>
      </c>
      <c r="P754" t="b">
        <v>0</v>
      </c>
      <c r="Q754" t="b">
        <v>1</v>
      </c>
      <c r="R754" t="s">
        <v>33</v>
      </c>
      <c r="S754" s="5" t="str" cm="1">
        <f t="array" ref="S754:T754">_xlfn.TEXTSPLIT(R754, "/")</f>
        <v>theater</v>
      </c>
      <c r="T754" s="5" t="str">
        <v>plays</v>
      </c>
    </row>
    <row r="755" spans="1:20" ht="19.5" x14ac:dyDescent="0.4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 s="4">
        <f t="shared" si="44"/>
        <v>256.70212765957444</v>
      </c>
      <c r="K755">
        <v>1274590800</v>
      </c>
      <c r="L755" s="5">
        <f t="shared" si="45"/>
        <v>88.065693430656935</v>
      </c>
      <c r="M755">
        <v>1275886800</v>
      </c>
      <c r="N755" s="9">
        <f t="shared" si="46"/>
        <v>40321.208333333336</v>
      </c>
      <c r="O755" s="9">
        <f t="shared" si="47"/>
        <v>40336.208333333336</v>
      </c>
      <c r="P755" t="b">
        <v>0</v>
      </c>
      <c r="Q755" t="b">
        <v>0</v>
      </c>
      <c r="R755" t="s">
        <v>122</v>
      </c>
      <c r="S755" s="5" t="str" cm="1">
        <f t="array" ref="S755:T755">_xlfn.TEXTSPLIT(R755, "/")</f>
        <v>photography</v>
      </c>
      <c r="T755" s="5" t="str">
        <v>photography books</v>
      </c>
    </row>
    <row r="756" spans="1:20" ht="19.5" x14ac:dyDescent="0.4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 s="4">
        <f t="shared" si="44"/>
        <v>168.47017045454547</v>
      </c>
      <c r="K756">
        <v>1351400400</v>
      </c>
      <c r="L756" s="5">
        <f t="shared" si="45"/>
        <v>37.005616224648989</v>
      </c>
      <c r="M756">
        <v>1355983200</v>
      </c>
      <c r="N756" s="9">
        <f t="shared" si="46"/>
        <v>41210.208333333336</v>
      </c>
      <c r="O756" s="9">
        <f t="shared" si="47"/>
        <v>41263.25</v>
      </c>
      <c r="P756" t="b">
        <v>0</v>
      </c>
      <c r="Q756" t="b">
        <v>0</v>
      </c>
      <c r="R756" t="s">
        <v>33</v>
      </c>
      <c r="S756" s="5" t="str" cm="1">
        <f t="array" ref="S756:T756">_xlfn.TEXTSPLIT(R756, "/")</f>
        <v>theater</v>
      </c>
      <c r="T756" s="5" t="str">
        <v>plays</v>
      </c>
    </row>
    <row r="757" spans="1:20" ht="19.5" x14ac:dyDescent="0.4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 s="4">
        <f t="shared" si="44"/>
        <v>166.57777777777778</v>
      </c>
      <c r="K757">
        <v>1514354400</v>
      </c>
      <c r="L757" s="5">
        <f t="shared" si="45"/>
        <v>26.027777777777779</v>
      </c>
      <c r="M757">
        <v>1515391200</v>
      </c>
      <c r="N757" s="9">
        <f t="shared" si="46"/>
        <v>43096.25</v>
      </c>
      <c r="O757" s="9">
        <f t="shared" si="47"/>
        <v>43108.25</v>
      </c>
      <c r="P757" t="b">
        <v>0</v>
      </c>
      <c r="Q757" t="b">
        <v>1</v>
      </c>
      <c r="R757" t="s">
        <v>33</v>
      </c>
      <c r="S757" s="5" t="str" cm="1">
        <f t="array" ref="S757:T757">_xlfn.TEXTSPLIT(R757, "/")</f>
        <v>theater</v>
      </c>
      <c r="T757" s="5" t="str">
        <v>plays</v>
      </c>
    </row>
    <row r="758" spans="1:20" ht="19.5" x14ac:dyDescent="0.4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 s="4">
        <f t="shared" si="44"/>
        <v>772.07692307692309</v>
      </c>
      <c r="K758">
        <v>1421733600</v>
      </c>
      <c r="L758" s="5">
        <f t="shared" si="45"/>
        <v>67.817567567567565</v>
      </c>
      <c r="M758">
        <v>1422252000</v>
      </c>
      <c r="N758" s="9">
        <f t="shared" si="46"/>
        <v>42024.25</v>
      </c>
      <c r="O758" s="9">
        <f t="shared" si="47"/>
        <v>42030.25</v>
      </c>
      <c r="P758" t="b">
        <v>0</v>
      </c>
      <c r="Q758" t="b">
        <v>0</v>
      </c>
      <c r="R758" t="s">
        <v>33</v>
      </c>
      <c r="S758" s="5" t="str" cm="1">
        <f t="array" ref="S758:T758">_xlfn.TEXTSPLIT(R758, "/")</f>
        <v>theater</v>
      </c>
      <c r="T758" s="5" t="str">
        <v>plays</v>
      </c>
    </row>
    <row r="759" spans="1:20" ht="19.5" x14ac:dyDescent="0.4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 s="4">
        <f t="shared" si="44"/>
        <v>406.85714285714283</v>
      </c>
      <c r="K759">
        <v>1305176400</v>
      </c>
      <c r="L759" s="5">
        <f t="shared" si="45"/>
        <v>49.964912280701753</v>
      </c>
      <c r="M759">
        <v>1305522000</v>
      </c>
      <c r="N759" s="9">
        <f t="shared" si="46"/>
        <v>40675.208333333336</v>
      </c>
      <c r="O759" s="9">
        <f t="shared" si="47"/>
        <v>40679.208333333336</v>
      </c>
      <c r="P759" t="b">
        <v>0</v>
      </c>
      <c r="Q759" t="b">
        <v>0</v>
      </c>
      <c r="R759" t="s">
        <v>53</v>
      </c>
      <c r="S759" s="5" t="str" cm="1">
        <f t="array" ref="S759:T759">_xlfn.TEXTSPLIT(R759, "/")</f>
        <v>film &amp; video</v>
      </c>
      <c r="T759" s="5" t="str">
        <v>drama</v>
      </c>
    </row>
    <row r="760" spans="1:20" ht="19.5" x14ac:dyDescent="0.4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 s="4">
        <f t="shared" si="44"/>
        <v>564.20608108108115</v>
      </c>
      <c r="K760">
        <v>1414126800</v>
      </c>
      <c r="L760" s="5">
        <f t="shared" si="45"/>
        <v>110.01646903820817</v>
      </c>
      <c r="M760">
        <v>1414904400</v>
      </c>
      <c r="N760" s="9">
        <f t="shared" si="46"/>
        <v>41936.208333333336</v>
      </c>
      <c r="O760" s="9">
        <f t="shared" si="47"/>
        <v>41945.208333333336</v>
      </c>
      <c r="P760" t="b">
        <v>0</v>
      </c>
      <c r="Q760" t="b">
        <v>0</v>
      </c>
      <c r="R760" t="s">
        <v>23</v>
      </c>
      <c r="S760" s="5" t="str" cm="1">
        <f t="array" ref="S760:T760">_xlfn.TEXTSPLIT(R760, "/")</f>
        <v>music</v>
      </c>
      <c r="T760" s="5" t="str">
        <v>rock</v>
      </c>
    </row>
    <row r="761" spans="1:20" ht="33.75" x14ac:dyDescent="0.4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 s="4">
        <f t="shared" si="44"/>
        <v>68.426865671641792</v>
      </c>
      <c r="K761">
        <v>1517810400</v>
      </c>
      <c r="L761" s="5">
        <f t="shared" si="45"/>
        <v>89.964678178963894</v>
      </c>
      <c r="M761">
        <v>1520402400</v>
      </c>
      <c r="N761" s="9">
        <f t="shared" si="46"/>
        <v>43136.25</v>
      </c>
      <c r="O761" s="9">
        <f t="shared" si="47"/>
        <v>43166.25</v>
      </c>
      <c r="P761" t="b">
        <v>0</v>
      </c>
      <c r="Q761" t="b">
        <v>0</v>
      </c>
      <c r="R761" t="s">
        <v>50</v>
      </c>
      <c r="S761" s="5" t="str" cm="1">
        <f t="array" ref="S761:T761">_xlfn.TEXTSPLIT(R761, "/")</f>
        <v>music</v>
      </c>
      <c r="T761" s="5" t="str">
        <v>electric music</v>
      </c>
    </row>
    <row r="762" spans="1:20" ht="19.5" x14ac:dyDescent="0.4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 s="4">
        <f t="shared" si="44"/>
        <v>34.351966873706004</v>
      </c>
      <c r="K762">
        <v>1564635600</v>
      </c>
      <c r="L762" s="5">
        <f t="shared" si="45"/>
        <v>79.009523809523813</v>
      </c>
      <c r="M762">
        <v>1567141200</v>
      </c>
      <c r="N762" s="9">
        <f t="shared" si="46"/>
        <v>43678.208333333328</v>
      </c>
      <c r="O762" s="9">
        <f t="shared" si="47"/>
        <v>43707.208333333328</v>
      </c>
      <c r="P762" t="b">
        <v>0</v>
      </c>
      <c r="Q762" t="b">
        <v>1</v>
      </c>
      <c r="R762" t="s">
        <v>89</v>
      </c>
      <c r="S762" s="5" t="str" cm="1">
        <f t="array" ref="S762:T762">_xlfn.TEXTSPLIT(R762, "/")</f>
        <v>games</v>
      </c>
      <c r="T762" s="5" t="str">
        <v>video games</v>
      </c>
    </row>
    <row r="763" spans="1:20" ht="19.5" x14ac:dyDescent="0.4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 s="4">
        <f t="shared" si="44"/>
        <v>655.4545454545455</v>
      </c>
      <c r="K763">
        <v>1500699600</v>
      </c>
      <c r="L763" s="5">
        <f t="shared" si="45"/>
        <v>86.867469879518069</v>
      </c>
      <c r="M763">
        <v>1501131600</v>
      </c>
      <c r="N763" s="9">
        <f t="shared" si="46"/>
        <v>42938.208333333328</v>
      </c>
      <c r="O763" s="9">
        <f t="shared" si="47"/>
        <v>42943.208333333328</v>
      </c>
      <c r="P763" t="b">
        <v>0</v>
      </c>
      <c r="Q763" t="b">
        <v>0</v>
      </c>
      <c r="R763" t="s">
        <v>23</v>
      </c>
      <c r="S763" s="5" t="str" cm="1">
        <f t="array" ref="S763:T763">_xlfn.TEXTSPLIT(R763, "/")</f>
        <v>music</v>
      </c>
      <c r="T763" s="5" t="str">
        <v>rock</v>
      </c>
    </row>
    <row r="764" spans="1:20" ht="19.5" x14ac:dyDescent="0.4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 s="4">
        <f t="shared" si="44"/>
        <v>177.25714285714284</v>
      </c>
      <c r="K764">
        <v>1354082400</v>
      </c>
      <c r="L764" s="5">
        <f t="shared" si="45"/>
        <v>62.04</v>
      </c>
      <c r="M764">
        <v>1355032800</v>
      </c>
      <c r="N764" s="9">
        <f t="shared" si="46"/>
        <v>41241.25</v>
      </c>
      <c r="O764" s="9">
        <f t="shared" si="47"/>
        <v>41252.25</v>
      </c>
      <c r="P764" t="b">
        <v>0</v>
      </c>
      <c r="Q764" t="b">
        <v>0</v>
      </c>
      <c r="R764" t="s">
        <v>159</v>
      </c>
      <c r="S764" s="5" t="str" cm="1">
        <f t="array" ref="S764:T764">_xlfn.TEXTSPLIT(R764, "/")</f>
        <v>music</v>
      </c>
      <c r="T764" s="5" t="str">
        <v>jazz</v>
      </c>
    </row>
    <row r="765" spans="1:20" ht="19.5" x14ac:dyDescent="0.4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 s="4">
        <f t="shared" si="44"/>
        <v>113.17857142857144</v>
      </c>
      <c r="K765">
        <v>1336453200</v>
      </c>
      <c r="L765" s="5">
        <f t="shared" si="45"/>
        <v>26.970212765957445</v>
      </c>
      <c r="M765">
        <v>1339477200</v>
      </c>
      <c r="N765" s="9">
        <f t="shared" si="46"/>
        <v>41037.208333333336</v>
      </c>
      <c r="O765" s="9">
        <f t="shared" si="47"/>
        <v>41072.208333333336</v>
      </c>
      <c r="P765" t="b">
        <v>0</v>
      </c>
      <c r="Q765" t="b">
        <v>1</v>
      </c>
      <c r="R765" t="s">
        <v>33</v>
      </c>
      <c r="S765" s="5" t="str" cm="1">
        <f t="array" ref="S765:T765">_xlfn.TEXTSPLIT(R765, "/")</f>
        <v>theater</v>
      </c>
      <c r="T765" s="5" t="str">
        <v>plays</v>
      </c>
    </row>
    <row r="766" spans="1:20" ht="33.75" x14ac:dyDescent="0.4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 s="4">
        <f t="shared" si="44"/>
        <v>728.18181818181824</v>
      </c>
      <c r="K766">
        <v>1305262800</v>
      </c>
      <c r="L766" s="5">
        <f t="shared" si="45"/>
        <v>54.121621621621621</v>
      </c>
      <c r="M766">
        <v>1305954000</v>
      </c>
      <c r="N766" s="9">
        <f t="shared" si="46"/>
        <v>40676.208333333336</v>
      </c>
      <c r="O766" s="9">
        <f t="shared" si="47"/>
        <v>40684.208333333336</v>
      </c>
      <c r="P766" t="b">
        <v>0</v>
      </c>
      <c r="Q766" t="b">
        <v>0</v>
      </c>
      <c r="R766" t="s">
        <v>23</v>
      </c>
      <c r="S766" s="5" t="str" cm="1">
        <f t="array" ref="S766:T766">_xlfn.TEXTSPLIT(R766, "/")</f>
        <v>music</v>
      </c>
      <c r="T766" s="5" t="str">
        <v>rock</v>
      </c>
    </row>
    <row r="767" spans="1:20" ht="19.5" x14ac:dyDescent="0.4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 s="4">
        <f t="shared" si="44"/>
        <v>208.33333333333334</v>
      </c>
      <c r="K767">
        <v>1492232400</v>
      </c>
      <c r="L767" s="5">
        <f t="shared" si="45"/>
        <v>41.035353535353536</v>
      </c>
      <c r="M767">
        <v>1494392400</v>
      </c>
      <c r="N767" s="9">
        <f t="shared" si="46"/>
        <v>42840.208333333328</v>
      </c>
      <c r="O767" s="9">
        <f t="shared" si="47"/>
        <v>42865.208333333328</v>
      </c>
      <c r="P767" t="b">
        <v>1</v>
      </c>
      <c r="Q767" t="b">
        <v>1</v>
      </c>
      <c r="R767" t="s">
        <v>60</v>
      </c>
      <c r="S767" s="5" t="str" cm="1">
        <f t="array" ref="S767:T767">_xlfn.TEXTSPLIT(R767, "/")</f>
        <v>music</v>
      </c>
      <c r="T767" s="5" t="str">
        <v>indie rock</v>
      </c>
    </row>
    <row r="768" spans="1:20" ht="33.75" x14ac:dyDescent="0.4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 s="4">
        <f t="shared" si="44"/>
        <v>31.171232876712331</v>
      </c>
      <c r="K768">
        <v>1537333200</v>
      </c>
      <c r="L768" s="5">
        <f t="shared" si="45"/>
        <v>55.052419354838712</v>
      </c>
      <c r="M768">
        <v>1537419600</v>
      </c>
      <c r="N768" s="9">
        <f t="shared" si="46"/>
        <v>43362.208333333328</v>
      </c>
      <c r="O768" s="9">
        <f t="shared" si="47"/>
        <v>43363.208333333328</v>
      </c>
      <c r="P768" t="b">
        <v>0</v>
      </c>
      <c r="Q768" t="b">
        <v>0</v>
      </c>
      <c r="R768" t="s">
        <v>474</v>
      </c>
      <c r="S768" s="5" t="str" cm="1">
        <f t="array" ref="S768:T768">_xlfn.TEXTSPLIT(R768, "/")</f>
        <v>film &amp; video</v>
      </c>
      <c r="T768" s="5" t="str">
        <v>science fiction</v>
      </c>
    </row>
    <row r="769" spans="1:20" ht="19.5" x14ac:dyDescent="0.4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 s="4">
        <f t="shared" si="44"/>
        <v>56.967078189300416</v>
      </c>
      <c r="K769">
        <v>1444107600</v>
      </c>
      <c r="L769" s="5">
        <f t="shared" si="45"/>
        <v>107.93762183235867</v>
      </c>
      <c r="M769">
        <v>1447999200</v>
      </c>
      <c r="N769" s="9">
        <f t="shared" si="46"/>
        <v>42283.208333333328</v>
      </c>
      <c r="O769" s="9">
        <f t="shared" si="47"/>
        <v>42328.25</v>
      </c>
      <c r="P769" t="b">
        <v>0</v>
      </c>
      <c r="Q769" t="b">
        <v>0</v>
      </c>
      <c r="R769" t="s">
        <v>206</v>
      </c>
      <c r="S769" s="5" t="str" cm="1">
        <f t="array" ref="S769:T769">_xlfn.TEXTSPLIT(R769, "/")</f>
        <v>publishing</v>
      </c>
      <c r="T769" s="5" t="str">
        <v>translations</v>
      </c>
    </row>
    <row r="770" spans="1:20" ht="19.5" x14ac:dyDescent="0.4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 s="4">
        <f t="shared" si="44"/>
        <v>231</v>
      </c>
      <c r="K770">
        <v>1386741600</v>
      </c>
      <c r="L770" s="5">
        <f t="shared" si="45"/>
        <v>73.92</v>
      </c>
      <c r="M770">
        <v>1388037600</v>
      </c>
      <c r="N770" s="9">
        <f t="shared" si="46"/>
        <v>41619.25</v>
      </c>
      <c r="O770" s="9">
        <f t="shared" si="47"/>
        <v>41634.25</v>
      </c>
      <c r="P770" t="b">
        <v>0</v>
      </c>
      <c r="Q770" t="b">
        <v>0</v>
      </c>
      <c r="R770" t="s">
        <v>33</v>
      </c>
      <c r="S770" s="5" t="str" cm="1">
        <f t="array" ref="S770:T770">_xlfn.TEXTSPLIT(R770, "/")</f>
        <v>theater</v>
      </c>
      <c r="T770" s="5" t="str">
        <v>plays</v>
      </c>
    </row>
    <row r="771" spans="1:20" ht="19.5" x14ac:dyDescent="0.4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 s="4">
        <f t="shared" ref="J771:J834" si="48">(E771/D771*100)</f>
        <v>86.867834394904463</v>
      </c>
      <c r="K771">
        <v>1376542800</v>
      </c>
      <c r="L771" s="5">
        <f t="shared" ref="L771:L834" si="49">E771/G771</f>
        <v>31.995894428152493</v>
      </c>
      <c r="M771">
        <v>1378789200</v>
      </c>
      <c r="N771" s="9">
        <f t="shared" ref="N771:N834" si="50">(((K771/60)/60)/24)+DATE(1970,1,1)</f>
        <v>41501.208333333336</v>
      </c>
      <c r="O771" s="9">
        <f t="shared" ref="O771:O834" si="51">(((M771/60)/60)/24)+DATE(1970,1,1)</f>
        <v>41527.208333333336</v>
      </c>
      <c r="P771" t="b">
        <v>0</v>
      </c>
      <c r="Q771" t="b">
        <v>0</v>
      </c>
      <c r="R771" t="s">
        <v>89</v>
      </c>
      <c r="S771" s="5" t="str" cm="1">
        <f t="array" ref="S771:T771">_xlfn.TEXTSPLIT(R771, "/")</f>
        <v>games</v>
      </c>
      <c r="T771" s="5" t="str">
        <v>video games</v>
      </c>
    </row>
    <row r="772" spans="1:20" ht="19.5" x14ac:dyDescent="0.4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 s="4">
        <f t="shared" si="48"/>
        <v>270.74418604651163</v>
      </c>
      <c r="K772">
        <v>1397451600</v>
      </c>
      <c r="L772" s="5">
        <f t="shared" si="49"/>
        <v>53.898148148148145</v>
      </c>
      <c r="M772">
        <v>1398056400</v>
      </c>
      <c r="N772" s="9">
        <f t="shared" si="50"/>
        <v>41743.208333333336</v>
      </c>
      <c r="O772" s="9">
        <f t="shared" si="51"/>
        <v>41750.208333333336</v>
      </c>
      <c r="P772" t="b">
        <v>0</v>
      </c>
      <c r="Q772" t="b">
        <v>1</v>
      </c>
      <c r="R772" t="s">
        <v>33</v>
      </c>
      <c r="S772" s="5" t="str" cm="1">
        <f t="array" ref="S772:T772">_xlfn.TEXTSPLIT(R772, "/")</f>
        <v>theater</v>
      </c>
      <c r="T772" s="5" t="str">
        <v>plays</v>
      </c>
    </row>
    <row r="773" spans="1:20" ht="19.5" x14ac:dyDescent="0.4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 s="4">
        <f t="shared" si="48"/>
        <v>49.446428571428569</v>
      </c>
      <c r="K773">
        <v>1548482400</v>
      </c>
      <c r="L773" s="5">
        <f t="shared" si="49"/>
        <v>106.5</v>
      </c>
      <c r="M773">
        <v>1550815200</v>
      </c>
      <c r="N773" s="9">
        <f t="shared" si="50"/>
        <v>43491.25</v>
      </c>
      <c r="O773" s="9">
        <f t="shared" si="51"/>
        <v>43518.25</v>
      </c>
      <c r="P773" t="b">
        <v>0</v>
      </c>
      <c r="Q773" t="b">
        <v>0</v>
      </c>
      <c r="R773" t="s">
        <v>33</v>
      </c>
      <c r="S773" s="5" t="str" cm="1">
        <f t="array" ref="S773:T773">_xlfn.TEXTSPLIT(R773, "/")</f>
        <v>theater</v>
      </c>
      <c r="T773" s="5" t="str">
        <v>plays</v>
      </c>
    </row>
    <row r="774" spans="1:20" ht="19.5" x14ac:dyDescent="0.4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 s="4">
        <f t="shared" si="48"/>
        <v>113.3596256684492</v>
      </c>
      <c r="K774">
        <v>1549692000</v>
      </c>
      <c r="L774" s="5">
        <f t="shared" si="49"/>
        <v>32.999805409612762</v>
      </c>
      <c r="M774">
        <v>1550037600</v>
      </c>
      <c r="N774" s="9">
        <f t="shared" si="50"/>
        <v>43505.25</v>
      </c>
      <c r="O774" s="9">
        <f t="shared" si="51"/>
        <v>43509.25</v>
      </c>
      <c r="P774" t="b">
        <v>0</v>
      </c>
      <c r="Q774" t="b">
        <v>0</v>
      </c>
      <c r="R774" t="s">
        <v>60</v>
      </c>
      <c r="S774" s="5" t="str" cm="1">
        <f t="array" ref="S774:T774">_xlfn.TEXTSPLIT(R774, "/")</f>
        <v>music</v>
      </c>
      <c r="T774" s="5" t="str">
        <v>indie rock</v>
      </c>
    </row>
    <row r="775" spans="1:20" ht="19.5" x14ac:dyDescent="0.4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 s="4">
        <f t="shared" si="48"/>
        <v>190.55555555555554</v>
      </c>
      <c r="K775">
        <v>1492059600</v>
      </c>
      <c r="L775" s="5">
        <f t="shared" si="49"/>
        <v>43.00254993625159</v>
      </c>
      <c r="M775">
        <v>1492923600</v>
      </c>
      <c r="N775" s="9">
        <f t="shared" si="50"/>
        <v>42838.208333333328</v>
      </c>
      <c r="O775" s="9">
        <f t="shared" si="51"/>
        <v>42848.208333333328</v>
      </c>
      <c r="P775" t="b">
        <v>0</v>
      </c>
      <c r="Q775" t="b">
        <v>0</v>
      </c>
      <c r="R775" t="s">
        <v>33</v>
      </c>
      <c r="S775" s="5" t="str" cm="1">
        <f t="array" ref="S775:T775">_xlfn.TEXTSPLIT(R775, "/")</f>
        <v>theater</v>
      </c>
      <c r="T775" s="5" t="str">
        <v>plays</v>
      </c>
    </row>
    <row r="776" spans="1:20" ht="19.5" x14ac:dyDescent="0.4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 s="4">
        <f t="shared" si="48"/>
        <v>135.5</v>
      </c>
      <c r="K776">
        <v>1463979600</v>
      </c>
      <c r="L776" s="5">
        <f t="shared" si="49"/>
        <v>86.858974358974365</v>
      </c>
      <c r="M776">
        <v>1467522000</v>
      </c>
      <c r="N776" s="9">
        <f t="shared" si="50"/>
        <v>42513.208333333328</v>
      </c>
      <c r="O776" s="9">
        <f t="shared" si="51"/>
        <v>42554.208333333328</v>
      </c>
      <c r="P776" t="b">
        <v>0</v>
      </c>
      <c r="Q776" t="b">
        <v>0</v>
      </c>
      <c r="R776" t="s">
        <v>28</v>
      </c>
      <c r="S776" s="5" t="str" cm="1">
        <f t="array" ref="S776:T776">_xlfn.TEXTSPLIT(R776, "/")</f>
        <v>technology</v>
      </c>
      <c r="T776" s="5" t="str">
        <v>web</v>
      </c>
    </row>
    <row r="777" spans="1:20" ht="33.75" x14ac:dyDescent="0.4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 s="4">
        <f t="shared" si="48"/>
        <v>10.297872340425531</v>
      </c>
      <c r="K777">
        <v>1415253600</v>
      </c>
      <c r="L777" s="5">
        <f t="shared" si="49"/>
        <v>96.8</v>
      </c>
      <c r="M777">
        <v>1416117600</v>
      </c>
      <c r="N777" s="9">
        <f t="shared" si="50"/>
        <v>41949.25</v>
      </c>
      <c r="O777" s="9">
        <f t="shared" si="51"/>
        <v>41959.25</v>
      </c>
      <c r="P777" t="b">
        <v>0</v>
      </c>
      <c r="Q777" t="b">
        <v>0</v>
      </c>
      <c r="R777" t="s">
        <v>23</v>
      </c>
      <c r="S777" s="5" t="str" cm="1">
        <f t="array" ref="S777:T777">_xlfn.TEXTSPLIT(R777, "/")</f>
        <v>music</v>
      </c>
      <c r="T777" s="5" t="str">
        <v>rock</v>
      </c>
    </row>
    <row r="778" spans="1:20" ht="19.5" x14ac:dyDescent="0.4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 s="4">
        <f t="shared" si="48"/>
        <v>65.544223826714799</v>
      </c>
      <c r="K778">
        <v>1562216400</v>
      </c>
      <c r="L778" s="5">
        <f t="shared" si="49"/>
        <v>32.995456610631528</v>
      </c>
      <c r="M778">
        <v>1563771600</v>
      </c>
      <c r="N778" s="9">
        <f t="shared" si="50"/>
        <v>43650.208333333328</v>
      </c>
      <c r="O778" s="9">
        <f t="shared" si="51"/>
        <v>43668.208333333328</v>
      </c>
      <c r="P778" t="b">
        <v>0</v>
      </c>
      <c r="Q778" t="b">
        <v>0</v>
      </c>
      <c r="R778" t="s">
        <v>33</v>
      </c>
      <c r="S778" s="5" t="str" cm="1">
        <f t="array" ref="S778:T778">_xlfn.TEXTSPLIT(R778, "/")</f>
        <v>theater</v>
      </c>
      <c r="T778" s="5" t="str">
        <v>plays</v>
      </c>
    </row>
    <row r="779" spans="1:20" ht="19.5" x14ac:dyDescent="0.4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 s="4">
        <f t="shared" si="48"/>
        <v>49.026652452025587</v>
      </c>
      <c r="K779">
        <v>1316754000</v>
      </c>
      <c r="L779" s="5">
        <f t="shared" si="49"/>
        <v>68.028106508875737</v>
      </c>
      <c r="M779">
        <v>1319259600</v>
      </c>
      <c r="N779" s="9">
        <f t="shared" si="50"/>
        <v>40809.208333333336</v>
      </c>
      <c r="O779" s="9">
        <f t="shared" si="51"/>
        <v>40838.208333333336</v>
      </c>
      <c r="P779" t="b">
        <v>0</v>
      </c>
      <c r="Q779" t="b">
        <v>0</v>
      </c>
      <c r="R779" t="s">
        <v>33</v>
      </c>
      <c r="S779" s="5" t="str" cm="1">
        <f t="array" ref="S779:T779">_xlfn.TEXTSPLIT(R779, "/")</f>
        <v>theater</v>
      </c>
      <c r="T779" s="5" t="str">
        <v>plays</v>
      </c>
    </row>
    <row r="780" spans="1:20" ht="19.5" x14ac:dyDescent="0.4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 s="4">
        <f t="shared" si="48"/>
        <v>787.92307692307691</v>
      </c>
      <c r="K780">
        <v>1313211600</v>
      </c>
      <c r="L780" s="5">
        <f t="shared" si="49"/>
        <v>58.867816091954026</v>
      </c>
      <c r="M780">
        <v>1313643600</v>
      </c>
      <c r="N780" s="9">
        <f t="shared" si="50"/>
        <v>40768.208333333336</v>
      </c>
      <c r="O780" s="9">
        <f t="shared" si="51"/>
        <v>40773.208333333336</v>
      </c>
      <c r="P780" t="b">
        <v>0</v>
      </c>
      <c r="Q780" t="b">
        <v>0</v>
      </c>
      <c r="R780" t="s">
        <v>71</v>
      </c>
      <c r="S780" s="5" t="str" cm="1">
        <f t="array" ref="S780:T780">_xlfn.TEXTSPLIT(R780, "/")</f>
        <v>film &amp; video</v>
      </c>
      <c r="T780" s="5" t="str">
        <v>animation</v>
      </c>
    </row>
    <row r="781" spans="1:20" ht="19.5" x14ac:dyDescent="0.4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 s="4">
        <f t="shared" si="48"/>
        <v>80.306347746090154</v>
      </c>
      <c r="K781">
        <v>1439528400</v>
      </c>
      <c r="L781" s="5">
        <f t="shared" si="49"/>
        <v>105.04572803850782</v>
      </c>
      <c r="M781">
        <v>1440306000</v>
      </c>
      <c r="N781" s="9">
        <f t="shared" si="50"/>
        <v>42230.208333333328</v>
      </c>
      <c r="O781" s="9">
        <f t="shared" si="51"/>
        <v>42239.208333333328</v>
      </c>
      <c r="P781" t="b">
        <v>0</v>
      </c>
      <c r="Q781" t="b">
        <v>1</v>
      </c>
      <c r="R781" t="s">
        <v>33</v>
      </c>
      <c r="S781" s="5" t="str" cm="1">
        <f t="array" ref="S781:T781">_xlfn.TEXTSPLIT(R781, "/")</f>
        <v>theater</v>
      </c>
      <c r="T781" s="5" t="str">
        <v>plays</v>
      </c>
    </row>
    <row r="782" spans="1:20" ht="19.5" x14ac:dyDescent="0.4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 s="4">
        <f t="shared" si="48"/>
        <v>106.29411764705883</v>
      </c>
      <c r="K782">
        <v>1469163600</v>
      </c>
      <c r="L782" s="5">
        <f t="shared" si="49"/>
        <v>33.054878048780488</v>
      </c>
      <c r="M782">
        <v>1470805200</v>
      </c>
      <c r="N782" s="9">
        <f t="shared" si="50"/>
        <v>42573.208333333328</v>
      </c>
      <c r="O782" s="9">
        <f t="shared" si="51"/>
        <v>42592.208333333328</v>
      </c>
      <c r="P782" t="b">
        <v>0</v>
      </c>
      <c r="Q782" t="b">
        <v>1</v>
      </c>
      <c r="R782" t="s">
        <v>53</v>
      </c>
      <c r="S782" s="5" t="str" cm="1">
        <f t="array" ref="S782:T782">_xlfn.TEXTSPLIT(R782, "/")</f>
        <v>film &amp; video</v>
      </c>
      <c r="T782" s="5" t="str">
        <v>drama</v>
      </c>
    </row>
    <row r="783" spans="1:20" ht="19.5" x14ac:dyDescent="0.4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 s="4">
        <f t="shared" si="48"/>
        <v>50.735632183908038</v>
      </c>
      <c r="K783">
        <v>1288501200</v>
      </c>
      <c r="L783" s="5">
        <f t="shared" si="49"/>
        <v>78.821428571428569</v>
      </c>
      <c r="M783">
        <v>1292911200</v>
      </c>
      <c r="N783" s="9">
        <f t="shared" si="50"/>
        <v>40482.208333333336</v>
      </c>
      <c r="O783" s="9">
        <f t="shared" si="51"/>
        <v>40533.25</v>
      </c>
      <c r="P783" t="b">
        <v>0</v>
      </c>
      <c r="Q783" t="b">
        <v>0</v>
      </c>
      <c r="R783" t="s">
        <v>33</v>
      </c>
      <c r="S783" s="5" t="str" cm="1">
        <f t="array" ref="S783:T783">_xlfn.TEXTSPLIT(R783, "/")</f>
        <v>theater</v>
      </c>
      <c r="T783" s="5" t="str">
        <v>plays</v>
      </c>
    </row>
    <row r="784" spans="1:20" ht="19.5" x14ac:dyDescent="0.4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 s="4">
        <f t="shared" si="48"/>
        <v>215.31372549019611</v>
      </c>
      <c r="K784">
        <v>1298959200</v>
      </c>
      <c r="L784" s="5">
        <f t="shared" si="49"/>
        <v>68.204968944099377</v>
      </c>
      <c r="M784">
        <v>1301374800</v>
      </c>
      <c r="N784" s="9">
        <f t="shared" si="50"/>
        <v>40603.25</v>
      </c>
      <c r="O784" s="9">
        <f t="shared" si="51"/>
        <v>40631.208333333336</v>
      </c>
      <c r="P784" t="b">
        <v>0</v>
      </c>
      <c r="Q784" t="b">
        <v>1</v>
      </c>
      <c r="R784" t="s">
        <v>71</v>
      </c>
      <c r="S784" s="5" t="str" cm="1">
        <f t="array" ref="S784:T784">_xlfn.TEXTSPLIT(R784, "/")</f>
        <v>film &amp; video</v>
      </c>
      <c r="T784" s="5" t="str">
        <v>animation</v>
      </c>
    </row>
    <row r="785" spans="1:20" ht="19.5" x14ac:dyDescent="0.4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 s="4">
        <f t="shared" si="48"/>
        <v>141.22972972972974</v>
      </c>
      <c r="K785">
        <v>1387260000</v>
      </c>
      <c r="L785" s="5">
        <f t="shared" si="49"/>
        <v>75.731884057971016</v>
      </c>
      <c r="M785">
        <v>1387864800</v>
      </c>
      <c r="N785" s="9">
        <f t="shared" si="50"/>
        <v>41625.25</v>
      </c>
      <c r="O785" s="9">
        <f t="shared" si="51"/>
        <v>41632.25</v>
      </c>
      <c r="P785" t="b">
        <v>0</v>
      </c>
      <c r="Q785" t="b">
        <v>0</v>
      </c>
      <c r="R785" t="s">
        <v>23</v>
      </c>
      <c r="S785" s="5" t="str" cm="1">
        <f t="array" ref="S785:T785">_xlfn.TEXTSPLIT(R785, "/")</f>
        <v>music</v>
      </c>
      <c r="T785" s="5" t="str">
        <v>rock</v>
      </c>
    </row>
    <row r="786" spans="1:20" ht="19.5" x14ac:dyDescent="0.4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 s="4">
        <f t="shared" si="48"/>
        <v>115.33745781777279</v>
      </c>
      <c r="K786">
        <v>1457244000</v>
      </c>
      <c r="L786" s="5">
        <f t="shared" si="49"/>
        <v>30.996070133010882</v>
      </c>
      <c r="M786">
        <v>1458190800</v>
      </c>
      <c r="N786" s="9">
        <f t="shared" si="50"/>
        <v>42435.25</v>
      </c>
      <c r="O786" s="9">
        <f t="shared" si="51"/>
        <v>42446.208333333328</v>
      </c>
      <c r="P786" t="b">
        <v>0</v>
      </c>
      <c r="Q786" t="b">
        <v>0</v>
      </c>
      <c r="R786" t="s">
        <v>28</v>
      </c>
      <c r="S786" s="5" t="str" cm="1">
        <f t="array" ref="S786:T786">_xlfn.TEXTSPLIT(R786, "/")</f>
        <v>technology</v>
      </c>
      <c r="T786" s="5" t="str">
        <v>web</v>
      </c>
    </row>
    <row r="787" spans="1:20" ht="33.75" x14ac:dyDescent="0.4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 s="4">
        <f t="shared" si="48"/>
        <v>193.11940298507463</v>
      </c>
      <c r="K787">
        <v>1556341200</v>
      </c>
      <c r="L787" s="5">
        <f t="shared" si="49"/>
        <v>101.88188976377953</v>
      </c>
      <c r="M787">
        <v>1559278800</v>
      </c>
      <c r="N787" s="9">
        <f t="shared" si="50"/>
        <v>43582.208333333328</v>
      </c>
      <c r="O787" s="9">
        <f t="shared" si="51"/>
        <v>43616.208333333328</v>
      </c>
      <c r="P787" t="b">
        <v>0</v>
      </c>
      <c r="Q787" t="b">
        <v>1</v>
      </c>
      <c r="R787" t="s">
        <v>71</v>
      </c>
      <c r="S787" s="5" t="str" cm="1">
        <f t="array" ref="S787:T787">_xlfn.TEXTSPLIT(R787, "/")</f>
        <v>film &amp; video</v>
      </c>
      <c r="T787" s="5" t="str">
        <v>animation</v>
      </c>
    </row>
    <row r="788" spans="1:20" ht="19.5" x14ac:dyDescent="0.4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 s="4">
        <f t="shared" si="48"/>
        <v>729.73333333333335</v>
      </c>
      <c r="K788">
        <v>1522126800</v>
      </c>
      <c r="L788" s="5">
        <f t="shared" si="49"/>
        <v>52.879227053140099</v>
      </c>
      <c r="M788">
        <v>1522731600</v>
      </c>
      <c r="N788" s="9">
        <f t="shared" si="50"/>
        <v>43186.208333333328</v>
      </c>
      <c r="O788" s="9">
        <f t="shared" si="51"/>
        <v>43193.208333333328</v>
      </c>
      <c r="P788" t="b">
        <v>0</v>
      </c>
      <c r="Q788" t="b">
        <v>1</v>
      </c>
      <c r="R788" t="s">
        <v>159</v>
      </c>
      <c r="S788" s="5" t="str" cm="1">
        <f t="array" ref="S788:T788">_xlfn.TEXTSPLIT(R788, "/")</f>
        <v>music</v>
      </c>
      <c r="T788" s="5" t="str">
        <v>jazz</v>
      </c>
    </row>
    <row r="789" spans="1:20" ht="19.5" x14ac:dyDescent="0.4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 s="4">
        <f t="shared" si="48"/>
        <v>99.66339869281046</v>
      </c>
      <c r="K789">
        <v>1305954000</v>
      </c>
      <c r="L789" s="5">
        <f t="shared" si="49"/>
        <v>71.005820721769496</v>
      </c>
      <c r="M789">
        <v>1306731600</v>
      </c>
      <c r="N789" s="9">
        <f t="shared" si="50"/>
        <v>40684.208333333336</v>
      </c>
      <c r="O789" s="9">
        <f t="shared" si="51"/>
        <v>40693.208333333336</v>
      </c>
      <c r="P789" t="b">
        <v>0</v>
      </c>
      <c r="Q789" t="b">
        <v>0</v>
      </c>
      <c r="R789" t="s">
        <v>23</v>
      </c>
      <c r="S789" s="5" t="str" cm="1">
        <f t="array" ref="S789:T789">_xlfn.TEXTSPLIT(R789, "/")</f>
        <v>music</v>
      </c>
      <c r="T789" s="5" t="str">
        <v>rock</v>
      </c>
    </row>
    <row r="790" spans="1:20" ht="19.5" x14ac:dyDescent="0.4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 s="4">
        <f t="shared" si="48"/>
        <v>88.166666666666671</v>
      </c>
      <c r="K790">
        <v>1350709200</v>
      </c>
      <c r="L790" s="5">
        <f t="shared" si="49"/>
        <v>102.38709677419355</v>
      </c>
      <c r="M790">
        <v>1352527200</v>
      </c>
      <c r="N790" s="9">
        <f t="shared" si="50"/>
        <v>41202.208333333336</v>
      </c>
      <c r="O790" s="9">
        <f t="shared" si="51"/>
        <v>41223.25</v>
      </c>
      <c r="P790" t="b">
        <v>0</v>
      </c>
      <c r="Q790" t="b">
        <v>0</v>
      </c>
      <c r="R790" t="s">
        <v>71</v>
      </c>
      <c r="S790" s="5" t="str" cm="1">
        <f t="array" ref="S790:T790">_xlfn.TEXTSPLIT(R790, "/")</f>
        <v>film &amp; video</v>
      </c>
      <c r="T790" s="5" t="str">
        <v>animation</v>
      </c>
    </row>
    <row r="791" spans="1:20" ht="19.5" x14ac:dyDescent="0.4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 s="4">
        <f t="shared" si="48"/>
        <v>37.233333333333334</v>
      </c>
      <c r="K791">
        <v>1401166800</v>
      </c>
      <c r="L791" s="5">
        <f t="shared" si="49"/>
        <v>74.466666666666669</v>
      </c>
      <c r="M791">
        <v>1404363600</v>
      </c>
      <c r="N791" s="9">
        <f t="shared" si="50"/>
        <v>41786.208333333336</v>
      </c>
      <c r="O791" s="9">
        <f t="shared" si="51"/>
        <v>41823.208333333336</v>
      </c>
      <c r="P791" t="b">
        <v>0</v>
      </c>
      <c r="Q791" t="b">
        <v>0</v>
      </c>
      <c r="R791" t="s">
        <v>33</v>
      </c>
      <c r="S791" s="5" t="str" cm="1">
        <f t="array" ref="S791:T791">_xlfn.TEXTSPLIT(R791, "/")</f>
        <v>theater</v>
      </c>
      <c r="T791" s="5" t="str">
        <v>plays</v>
      </c>
    </row>
    <row r="792" spans="1:20" ht="19.5" x14ac:dyDescent="0.4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 s="4">
        <f t="shared" si="48"/>
        <v>30.540075309306079</v>
      </c>
      <c r="K792">
        <v>1266127200</v>
      </c>
      <c r="L792" s="5">
        <f t="shared" si="49"/>
        <v>51.009883198562441</v>
      </c>
      <c r="M792">
        <v>1266645600</v>
      </c>
      <c r="N792" s="9">
        <f t="shared" si="50"/>
        <v>40223.25</v>
      </c>
      <c r="O792" s="9">
        <f t="shared" si="51"/>
        <v>40229.25</v>
      </c>
      <c r="P792" t="b">
        <v>0</v>
      </c>
      <c r="Q792" t="b">
        <v>0</v>
      </c>
      <c r="R792" t="s">
        <v>33</v>
      </c>
      <c r="S792" s="5" t="str" cm="1">
        <f t="array" ref="S792:T792">_xlfn.TEXTSPLIT(R792, "/")</f>
        <v>theater</v>
      </c>
      <c r="T792" s="5" t="str">
        <v>plays</v>
      </c>
    </row>
    <row r="793" spans="1:20" ht="19.5" x14ac:dyDescent="0.4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 s="4">
        <f t="shared" si="48"/>
        <v>25.714285714285712</v>
      </c>
      <c r="K793">
        <v>1481436000</v>
      </c>
      <c r="L793" s="5">
        <f t="shared" si="49"/>
        <v>90</v>
      </c>
      <c r="M793">
        <v>1482818400</v>
      </c>
      <c r="N793" s="9">
        <f t="shared" si="50"/>
        <v>42715.25</v>
      </c>
      <c r="O793" s="9">
        <f t="shared" si="51"/>
        <v>42731.25</v>
      </c>
      <c r="P793" t="b">
        <v>0</v>
      </c>
      <c r="Q793" t="b">
        <v>0</v>
      </c>
      <c r="R793" t="s">
        <v>17</v>
      </c>
      <c r="S793" s="5" t="str" cm="1">
        <f t="array" ref="S793:T793">_xlfn.TEXTSPLIT(R793, "/")</f>
        <v>food</v>
      </c>
      <c r="T793" s="5" t="str">
        <v>food trucks</v>
      </c>
    </row>
    <row r="794" spans="1:20" ht="19.5" x14ac:dyDescent="0.4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 s="4">
        <f t="shared" si="48"/>
        <v>34</v>
      </c>
      <c r="K794">
        <v>1372222800</v>
      </c>
      <c r="L794" s="5">
        <f t="shared" si="49"/>
        <v>97.142857142857139</v>
      </c>
      <c r="M794">
        <v>1374642000</v>
      </c>
      <c r="N794" s="9">
        <f t="shared" si="50"/>
        <v>41451.208333333336</v>
      </c>
      <c r="O794" s="9">
        <f t="shared" si="51"/>
        <v>41479.208333333336</v>
      </c>
      <c r="P794" t="b">
        <v>0</v>
      </c>
      <c r="Q794" t="b">
        <v>1</v>
      </c>
      <c r="R794" t="s">
        <v>33</v>
      </c>
      <c r="S794" s="5" t="str" cm="1">
        <f t="array" ref="S794:T794">_xlfn.TEXTSPLIT(R794, "/")</f>
        <v>theater</v>
      </c>
      <c r="T794" s="5" t="str">
        <v>plays</v>
      </c>
    </row>
    <row r="795" spans="1:20" ht="19.5" x14ac:dyDescent="0.4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 s="4">
        <f t="shared" si="48"/>
        <v>1185.909090909091</v>
      </c>
      <c r="K795">
        <v>1372136400</v>
      </c>
      <c r="L795" s="5">
        <f t="shared" si="49"/>
        <v>72.071823204419886</v>
      </c>
      <c r="M795">
        <v>1372482000</v>
      </c>
      <c r="N795" s="9">
        <f t="shared" si="50"/>
        <v>41450.208333333336</v>
      </c>
      <c r="O795" s="9">
        <f t="shared" si="51"/>
        <v>41454.208333333336</v>
      </c>
      <c r="P795" t="b">
        <v>0</v>
      </c>
      <c r="Q795" t="b">
        <v>0</v>
      </c>
      <c r="R795" t="s">
        <v>68</v>
      </c>
      <c r="S795" s="5" t="str" cm="1">
        <f t="array" ref="S795:T795">_xlfn.TEXTSPLIT(R795, "/")</f>
        <v>publishing</v>
      </c>
      <c r="T795" s="5" t="str">
        <v>nonfiction</v>
      </c>
    </row>
    <row r="796" spans="1:20" ht="19.5" x14ac:dyDescent="0.4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 s="4">
        <f t="shared" si="48"/>
        <v>125.39393939393939</v>
      </c>
      <c r="K796">
        <v>1513922400</v>
      </c>
      <c r="L796" s="5">
        <f t="shared" si="49"/>
        <v>75.236363636363635</v>
      </c>
      <c r="M796">
        <v>1514959200</v>
      </c>
      <c r="N796" s="9">
        <f t="shared" si="50"/>
        <v>43091.25</v>
      </c>
      <c r="O796" s="9">
        <f t="shared" si="51"/>
        <v>43103.25</v>
      </c>
      <c r="P796" t="b">
        <v>0</v>
      </c>
      <c r="Q796" t="b">
        <v>0</v>
      </c>
      <c r="R796" t="s">
        <v>23</v>
      </c>
      <c r="S796" s="5" t="str" cm="1">
        <f t="array" ref="S796:T796">_xlfn.TEXTSPLIT(R796, "/")</f>
        <v>music</v>
      </c>
      <c r="T796" s="5" t="str">
        <v>rock</v>
      </c>
    </row>
    <row r="797" spans="1:20" ht="33.75" x14ac:dyDescent="0.4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 s="4">
        <f t="shared" si="48"/>
        <v>14.394366197183098</v>
      </c>
      <c r="K797">
        <v>1477976400</v>
      </c>
      <c r="L797" s="5">
        <f t="shared" si="49"/>
        <v>32.967741935483872</v>
      </c>
      <c r="M797">
        <v>1478235600</v>
      </c>
      <c r="N797" s="9">
        <f t="shared" si="50"/>
        <v>42675.208333333328</v>
      </c>
      <c r="O797" s="9">
        <f t="shared" si="51"/>
        <v>42678.208333333328</v>
      </c>
      <c r="P797" t="b">
        <v>0</v>
      </c>
      <c r="Q797" t="b">
        <v>0</v>
      </c>
      <c r="R797" t="s">
        <v>53</v>
      </c>
      <c r="S797" s="5" t="str" cm="1">
        <f t="array" ref="S797:T797">_xlfn.TEXTSPLIT(R797, "/")</f>
        <v>film &amp; video</v>
      </c>
      <c r="T797" s="5" t="str">
        <v>drama</v>
      </c>
    </row>
    <row r="798" spans="1:20" ht="19.5" x14ac:dyDescent="0.4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 s="4">
        <f t="shared" si="48"/>
        <v>54.807692307692314</v>
      </c>
      <c r="K798">
        <v>1407474000</v>
      </c>
      <c r="L798" s="5">
        <f t="shared" si="49"/>
        <v>54.807692307692307</v>
      </c>
      <c r="M798">
        <v>1408078800</v>
      </c>
      <c r="N798" s="9">
        <f t="shared" si="50"/>
        <v>41859.208333333336</v>
      </c>
      <c r="O798" s="9">
        <f t="shared" si="51"/>
        <v>41866.208333333336</v>
      </c>
      <c r="P798" t="b">
        <v>0</v>
      </c>
      <c r="Q798" t="b">
        <v>1</v>
      </c>
      <c r="R798" t="s">
        <v>292</v>
      </c>
      <c r="S798" s="5" t="str" cm="1">
        <f t="array" ref="S798:T798">_xlfn.TEXTSPLIT(R798, "/")</f>
        <v>games</v>
      </c>
      <c r="T798" s="5" t="str">
        <v>mobile games</v>
      </c>
    </row>
    <row r="799" spans="1:20" ht="19.5" x14ac:dyDescent="0.4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 s="4">
        <f t="shared" si="48"/>
        <v>109.63157894736841</v>
      </c>
      <c r="K799">
        <v>1546149600</v>
      </c>
      <c r="L799" s="5">
        <f t="shared" si="49"/>
        <v>45.037837837837834</v>
      </c>
      <c r="M799">
        <v>1548136800</v>
      </c>
      <c r="N799" s="9">
        <f t="shared" si="50"/>
        <v>43464.25</v>
      </c>
      <c r="O799" s="9">
        <f t="shared" si="51"/>
        <v>43487.25</v>
      </c>
      <c r="P799" t="b">
        <v>0</v>
      </c>
      <c r="Q799" t="b">
        <v>0</v>
      </c>
      <c r="R799" t="s">
        <v>28</v>
      </c>
      <c r="S799" s="5" t="str" cm="1">
        <f t="array" ref="S799:T799">_xlfn.TEXTSPLIT(R799, "/")</f>
        <v>technology</v>
      </c>
      <c r="T799" s="5" t="str">
        <v>web</v>
      </c>
    </row>
    <row r="800" spans="1:20" ht="19.5" x14ac:dyDescent="0.4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 s="4">
        <f t="shared" si="48"/>
        <v>188.47058823529412</v>
      </c>
      <c r="K800">
        <v>1338440400</v>
      </c>
      <c r="L800" s="5">
        <f t="shared" si="49"/>
        <v>52.958677685950413</v>
      </c>
      <c r="M800">
        <v>1340859600</v>
      </c>
      <c r="N800" s="9">
        <f t="shared" si="50"/>
        <v>41060.208333333336</v>
      </c>
      <c r="O800" s="9">
        <f t="shared" si="51"/>
        <v>41088.208333333336</v>
      </c>
      <c r="P800" t="b">
        <v>0</v>
      </c>
      <c r="Q800" t="b">
        <v>1</v>
      </c>
      <c r="R800" t="s">
        <v>33</v>
      </c>
      <c r="S800" s="5" t="str" cm="1">
        <f t="array" ref="S800:T800">_xlfn.TEXTSPLIT(R800, "/")</f>
        <v>theater</v>
      </c>
      <c r="T800" s="5" t="str">
        <v>plays</v>
      </c>
    </row>
    <row r="801" spans="1:20" ht="19.5" x14ac:dyDescent="0.4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 s="4">
        <f t="shared" si="48"/>
        <v>87.008284023668637</v>
      </c>
      <c r="K801">
        <v>1454133600</v>
      </c>
      <c r="L801" s="5">
        <f t="shared" si="49"/>
        <v>60.017959183673469</v>
      </c>
      <c r="M801">
        <v>1454479200</v>
      </c>
      <c r="N801" s="9">
        <f t="shared" si="50"/>
        <v>42399.25</v>
      </c>
      <c r="O801" s="9">
        <f t="shared" si="51"/>
        <v>42403.25</v>
      </c>
      <c r="P801" t="b">
        <v>0</v>
      </c>
      <c r="Q801" t="b">
        <v>0</v>
      </c>
      <c r="R801" t="s">
        <v>33</v>
      </c>
      <c r="S801" s="5" t="str" cm="1">
        <f t="array" ref="S801:T801">_xlfn.TEXTSPLIT(R801, "/")</f>
        <v>theater</v>
      </c>
      <c r="T801" s="5" t="str">
        <v>plays</v>
      </c>
    </row>
    <row r="802" spans="1:20" ht="19.5" x14ac:dyDescent="0.4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 s="4">
        <f t="shared" si="48"/>
        <v>1</v>
      </c>
      <c r="K802">
        <v>1434085200</v>
      </c>
      <c r="L802" s="5">
        <f t="shared" si="49"/>
        <v>1</v>
      </c>
      <c r="M802">
        <v>1434430800</v>
      </c>
      <c r="N802" s="9">
        <f t="shared" si="50"/>
        <v>42167.208333333328</v>
      </c>
      <c r="O802" s="9">
        <f t="shared" si="51"/>
        <v>42171.208333333328</v>
      </c>
      <c r="P802" t="b">
        <v>0</v>
      </c>
      <c r="Q802" t="b">
        <v>0</v>
      </c>
      <c r="R802" t="s">
        <v>23</v>
      </c>
      <c r="S802" s="5" t="str" cm="1">
        <f t="array" ref="S802:T802">_xlfn.TEXTSPLIT(R802, "/")</f>
        <v>music</v>
      </c>
      <c r="T802" s="5" t="str">
        <v>rock</v>
      </c>
    </row>
    <row r="803" spans="1:20" ht="19.5" x14ac:dyDescent="0.4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 s="4">
        <f t="shared" si="48"/>
        <v>202.9130434782609</v>
      </c>
      <c r="K803">
        <v>1577772000</v>
      </c>
      <c r="L803" s="5">
        <f t="shared" si="49"/>
        <v>44.028301886792455</v>
      </c>
      <c r="M803">
        <v>1579672800</v>
      </c>
      <c r="N803" s="9">
        <f t="shared" si="50"/>
        <v>43830.25</v>
      </c>
      <c r="O803" s="9">
        <f t="shared" si="51"/>
        <v>43852.25</v>
      </c>
      <c r="P803" t="b">
        <v>0</v>
      </c>
      <c r="Q803" t="b">
        <v>1</v>
      </c>
      <c r="R803" t="s">
        <v>122</v>
      </c>
      <c r="S803" s="5" t="str" cm="1">
        <f t="array" ref="S803:T803">_xlfn.TEXTSPLIT(R803, "/")</f>
        <v>photography</v>
      </c>
      <c r="T803" s="5" t="str">
        <v>photography books</v>
      </c>
    </row>
    <row r="804" spans="1:20" ht="33.75" x14ac:dyDescent="0.4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 s="4">
        <f t="shared" si="48"/>
        <v>197.03225806451613</v>
      </c>
      <c r="K804">
        <v>1562216400</v>
      </c>
      <c r="L804" s="5">
        <f t="shared" si="49"/>
        <v>86.028169014084511</v>
      </c>
      <c r="M804">
        <v>1562389200</v>
      </c>
      <c r="N804" s="9">
        <f t="shared" si="50"/>
        <v>43650.208333333328</v>
      </c>
      <c r="O804" s="9">
        <f t="shared" si="51"/>
        <v>43652.208333333328</v>
      </c>
      <c r="P804" t="b">
        <v>0</v>
      </c>
      <c r="Q804" t="b">
        <v>0</v>
      </c>
      <c r="R804" t="s">
        <v>122</v>
      </c>
      <c r="S804" s="5" t="str" cm="1">
        <f t="array" ref="S804:T804">_xlfn.TEXTSPLIT(R804, "/")</f>
        <v>photography</v>
      </c>
      <c r="T804" s="5" t="str">
        <v>photography books</v>
      </c>
    </row>
    <row r="805" spans="1:20" ht="33.75" x14ac:dyDescent="0.4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 s="4">
        <f t="shared" si="48"/>
        <v>107</v>
      </c>
      <c r="K805">
        <v>1548568800</v>
      </c>
      <c r="L805" s="5">
        <f t="shared" si="49"/>
        <v>28.012875536480685</v>
      </c>
      <c r="M805">
        <v>1551506400</v>
      </c>
      <c r="N805" s="9">
        <f t="shared" si="50"/>
        <v>43492.25</v>
      </c>
      <c r="O805" s="9">
        <f t="shared" si="51"/>
        <v>43526.25</v>
      </c>
      <c r="P805" t="b">
        <v>0</v>
      </c>
      <c r="Q805" t="b">
        <v>0</v>
      </c>
      <c r="R805" t="s">
        <v>33</v>
      </c>
      <c r="S805" s="5" t="str" cm="1">
        <f t="array" ref="S805:T805">_xlfn.TEXTSPLIT(R805, "/")</f>
        <v>theater</v>
      </c>
      <c r="T805" s="5" t="str">
        <v>plays</v>
      </c>
    </row>
    <row r="806" spans="1:20" ht="19.5" x14ac:dyDescent="0.4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 s="4">
        <f t="shared" si="48"/>
        <v>268.73076923076923</v>
      </c>
      <c r="K806">
        <v>1514872800</v>
      </c>
      <c r="L806" s="5">
        <f t="shared" si="49"/>
        <v>32.050458715596328</v>
      </c>
      <c r="M806">
        <v>1516600800</v>
      </c>
      <c r="N806" s="9">
        <f t="shared" si="50"/>
        <v>43102.25</v>
      </c>
      <c r="O806" s="9">
        <f t="shared" si="51"/>
        <v>43122.25</v>
      </c>
      <c r="P806" t="b">
        <v>0</v>
      </c>
      <c r="Q806" t="b">
        <v>0</v>
      </c>
      <c r="R806" t="s">
        <v>23</v>
      </c>
      <c r="S806" s="5" t="str" cm="1">
        <f t="array" ref="S806:T806">_xlfn.TEXTSPLIT(R806, "/")</f>
        <v>music</v>
      </c>
      <c r="T806" s="5" t="str">
        <v>rock</v>
      </c>
    </row>
    <row r="807" spans="1:20" ht="33.75" x14ac:dyDescent="0.4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 s="4">
        <f t="shared" si="48"/>
        <v>50.845360824742272</v>
      </c>
      <c r="K807">
        <v>1416031200</v>
      </c>
      <c r="L807" s="5">
        <f t="shared" si="49"/>
        <v>73.611940298507463</v>
      </c>
      <c r="M807">
        <v>1420437600</v>
      </c>
      <c r="N807" s="9">
        <f t="shared" si="50"/>
        <v>41958.25</v>
      </c>
      <c r="O807" s="9">
        <f t="shared" si="51"/>
        <v>42009.25</v>
      </c>
      <c r="P807" t="b">
        <v>0</v>
      </c>
      <c r="Q807" t="b">
        <v>0</v>
      </c>
      <c r="R807" t="s">
        <v>42</v>
      </c>
      <c r="S807" s="5" t="str" cm="1">
        <f t="array" ref="S807:T807">_xlfn.TEXTSPLIT(R807, "/")</f>
        <v>film &amp; video</v>
      </c>
      <c r="T807" s="5" t="str">
        <v>documentary</v>
      </c>
    </row>
    <row r="808" spans="1:20" ht="19.5" x14ac:dyDescent="0.4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 s="4">
        <f t="shared" si="48"/>
        <v>1180.2857142857142</v>
      </c>
      <c r="K808">
        <v>1330927200</v>
      </c>
      <c r="L808" s="5">
        <f t="shared" si="49"/>
        <v>108.71052631578948</v>
      </c>
      <c r="M808">
        <v>1332997200</v>
      </c>
      <c r="N808" s="9">
        <f t="shared" si="50"/>
        <v>40973.25</v>
      </c>
      <c r="O808" s="9">
        <f t="shared" si="51"/>
        <v>40997.208333333336</v>
      </c>
      <c r="P808" t="b">
        <v>0</v>
      </c>
      <c r="Q808" t="b">
        <v>1</v>
      </c>
      <c r="R808" t="s">
        <v>53</v>
      </c>
      <c r="S808" s="5" t="str" cm="1">
        <f t="array" ref="S808:T808">_xlfn.TEXTSPLIT(R808, "/")</f>
        <v>film &amp; video</v>
      </c>
      <c r="T808" s="5" t="str">
        <v>drama</v>
      </c>
    </row>
    <row r="809" spans="1:20" ht="19.5" x14ac:dyDescent="0.4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 s="4">
        <f t="shared" si="48"/>
        <v>264</v>
      </c>
      <c r="K809">
        <v>1571115600</v>
      </c>
      <c r="L809" s="5">
        <f t="shared" si="49"/>
        <v>42.97674418604651</v>
      </c>
      <c r="M809">
        <v>1574920800</v>
      </c>
      <c r="N809" s="9">
        <f t="shared" si="50"/>
        <v>43753.208333333328</v>
      </c>
      <c r="O809" s="9">
        <f t="shared" si="51"/>
        <v>43797.25</v>
      </c>
      <c r="P809" t="b">
        <v>0</v>
      </c>
      <c r="Q809" t="b">
        <v>1</v>
      </c>
      <c r="R809" t="s">
        <v>33</v>
      </c>
      <c r="S809" s="5" t="str" cm="1">
        <f t="array" ref="S809:T809">_xlfn.TEXTSPLIT(R809, "/")</f>
        <v>theater</v>
      </c>
      <c r="T809" s="5" t="str">
        <v>plays</v>
      </c>
    </row>
    <row r="810" spans="1:20" ht="19.5" x14ac:dyDescent="0.4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 s="4">
        <f t="shared" si="48"/>
        <v>30.44230769230769</v>
      </c>
      <c r="K810">
        <v>1463461200</v>
      </c>
      <c r="L810" s="5">
        <f t="shared" si="49"/>
        <v>83.315789473684205</v>
      </c>
      <c r="M810">
        <v>1464930000</v>
      </c>
      <c r="N810" s="9">
        <f t="shared" si="50"/>
        <v>42507.208333333328</v>
      </c>
      <c r="O810" s="9">
        <f t="shared" si="51"/>
        <v>42524.208333333328</v>
      </c>
      <c r="P810" t="b">
        <v>0</v>
      </c>
      <c r="Q810" t="b">
        <v>0</v>
      </c>
      <c r="R810" t="s">
        <v>17</v>
      </c>
      <c r="S810" s="5" t="str" cm="1">
        <f t="array" ref="S810:T810">_xlfn.TEXTSPLIT(R810, "/")</f>
        <v>food</v>
      </c>
      <c r="T810" s="5" t="str">
        <v>food trucks</v>
      </c>
    </row>
    <row r="811" spans="1:20" ht="19.5" x14ac:dyDescent="0.4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 s="4">
        <f t="shared" si="48"/>
        <v>62.880681818181813</v>
      </c>
      <c r="K811">
        <v>1344920400</v>
      </c>
      <c r="L811" s="5">
        <f t="shared" si="49"/>
        <v>42</v>
      </c>
      <c r="M811">
        <v>1345006800</v>
      </c>
      <c r="N811" s="9">
        <f t="shared" si="50"/>
        <v>41135.208333333336</v>
      </c>
      <c r="O811" s="9">
        <f t="shared" si="51"/>
        <v>41136.208333333336</v>
      </c>
      <c r="P811" t="b">
        <v>0</v>
      </c>
      <c r="Q811" t="b">
        <v>0</v>
      </c>
      <c r="R811" t="s">
        <v>42</v>
      </c>
      <c r="S811" s="5" t="str" cm="1">
        <f t="array" ref="S811:T811">_xlfn.TEXTSPLIT(R811, "/")</f>
        <v>film &amp; video</v>
      </c>
      <c r="T811" s="5" t="str">
        <v>documentary</v>
      </c>
    </row>
    <row r="812" spans="1:20" ht="19.5" x14ac:dyDescent="0.4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 s="4">
        <f t="shared" si="48"/>
        <v>193.125</v>
      </c>
      <c r="K812">
        <v>1511848800</v>
      </c>
      <c r="L812" s="5">
        <f t="shared" si="49"/>
        <v>55.927601809954751</v>
      </c>
      <c r="M812">
        <v>1512712800</v>
      </c>
      <c r="N812" s="9">
        <f t="shared" si="50"/>
        <v>43067.25</v>
      </c>
      <c r="O812" s="9">
        <f t="shared" si="51"/>
        <v>43077.25</v>
      </c>
      <c r="P812" t="b">
        <v>0</v>
      </c>
      <c r="Q812" t="b">
        <v>1</v>
      </c>
      <c r="R812" t="s">
        <v>33</v>
      </c>
      <c r="S812" s="5" t="str" cm="1">
        <f t="array" ref="S812:T812">_xlfn.TEXTSPLIT(R812, "/")</f>
        <v>theater</v>
      </c>
      <c r="T812" s="5" t="str">
        <v>plays</v>
      </c>
    </row>
    <row r="813" spans="1:20" ht="19.5" x14ac:dyDescent="0.4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 s="4">
        <f t="shared" si="48"/>
        <v>77.102702702702715</v>
      </c>
      <c r="K813">
        <v>1452319200</v>
      </c>
      <c r="L813" s="5">
        <f t="shared" si="49"/>
        <v>105.03681885125184</v>
      </c>
      <c r="M813">
        <v>1452492000</v>
      </c>
      <c r="N813" s="9">
        <f t="shared" si="50"/>
        <v>42378.25</v>
      </c>
      <c r="O813" s="9">
        <f t="shared" si="51"/>
        <v>42380.25</v>
      </c>
      <c r="P813" t="b">
        <v>0</v>
      </c>
      <c r="Q813" t="b">
        <v>1</v>
      </c>
      <c r="R813" t="s">
        <v>89</v>
      </c>
      <c r="S813" s="5" t="str" cm="1">
        <f t="array" ref="S813:T813">_xlfn.TEXTSPLIT(R813, "/")</f>
        <v>games</v>
      </c>
      <c r="T813" s="5" t="str">
        <v>video games</v>
      </c>
    </row>
    <row r="814" spans="1:20" ht="19.5" x14ac:dyDescent="0.4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 s="4">
        <f t="shared" si="48"/>
        <v>225.52763819095478</v>
      </c>
      <c r="K814">
        <v>1523854800</v>
      </c>
      <c r="L814" s="5">
        <f t="shared" si="49"/>
        <v>48</v>
      </c>
      <c r="M814">
        <v>1524286800</v>
      </c>
      <c r="N814" s="9">
        <f t="shared" si="50"/>
        <v>43206.208333333328</v>
      </c>
      <c r="O814" s="9">
        <f t="shared" si="51"/>
        <v>43211.208333333328</v>
      </c>
      <c r="P814" t="b">
        <v>0</v>
      </c>
      <c r="Q814" t="b">
        <v>0</v>
      </c>
      <c r="R814" t="s">
        <v>68</v>
      </c>
      <c r="S814" s="5" t="str" cm="1">
        <f t="array" ref="S814:T814">_xlfn.TEXTSPLIT(R814, "/")</f>
        <v>publishing</v>
      </c>
      <c r="T814" s="5" t="str">
        <v>nonfiction</v>
      </c>
    </row>
    <row r="815" spans="1:20" ht="19.5" x14ac:dyDescent="0.4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 s="4">
        <f t="shared" si="48"/>
        <v>239.40625</v>
      </c>
      <c r="K815">
        <v>1346043600</v>
      </c>
      <c r="L815" s="5">
        <f t="shared" si="49"/>
        <v>112.66176470588235</v>
      </c>
      <c r="M815">
        <v>1346907600</v>
      </c>
      <c r="N815" s="9">
        <f t="shared" si="50"/>
        <v>41148.208333333336</v>
      </c>
      <c r="O815" s="9">
        <f t="shared" si="51"/>
        <v>41158.208333333336</v>
      </c>
      <c r="P815" t="b">
        <v>0</v>
      </c>
      <c r="Q815" t="b">
        <v>0</v>
      </c>
      <c r="R815" t="s">
        <v>89</v>
      </c>
      <c r="S815" s="5" t="str" cm="1">
        <f t="array" ref="S815:T815">_xlfn.TEXTSPLIT(R815, "/")</f>
        <v>games</v>
      </c>
      <c r="T815" s="5" t="str">
        <v>video games</v>
      </c>
    </row>
    <row r="816" spans="1:20" ht="19.5" x14ac:dyDescent="0.4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 s="4">
        <f t="shared" si="48"/>
        <v>92.1875</v>
      </c>
      <c r="K816">
        <v>1464325200</v>
      </c>
      <c r="L816" s="5">
        <f t="shared" si="49"/>
        <v>81.944444444444443</v>
      </c>
      <c r="M816">
        <v>1464498000</v>
      </c>
      <c r="N816" s="9">
        <f t="shared" si="50"/>
        <v>42517.208333333328</v>
      </c>
      <c r="O816" s="9">
        <f t="shared" si="51"/>
        <v>42519.208333333328</v>
      </c>
      <c r="P816" t="b">
        <v>0</v>
      </c>
      <c r="Q816" t="b">
        <v>1</v>
      </c>
      <c r="R816" t="s">
        <v>23</v>
      </c>
      <c r="S816" s="5" t="str" cm="1">
        <f t="array" ref="S816:T816">_xlfn.TEXTSPLIT(R816, "/")</f>
        <v>music</v>
      </c>
      <c r="T816" s="5" t="str">
        <v>rock</v>
      </c>
    </row>
    <row r="817" spans="1:20" ht="33.75" x14ac:dyDescent="0.4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 s="4">
        <f t="shared" si="48"/>
        <v>130.23333333333335</v>
      </c>
      <c r="K817">
        <v>1511935200</v>
      </c>
      <c r="L817" s="5">
        <f t="shared" si="49"/>
        <v>64.049180327868854</v>
      </c>
      <c r="M817">
        <v>1514181600</v>
      </c>
      <c r="N817" s="9">
        <f t="shared" si="50"/>
        <v>43068.25</v>
      </c>
      <c r="O817" s="9">
        <f t="shared" si="51"/>
        <v>43094.25</v>
      </c>
      <c r="P817" t="b">
        <v>0</v>
      </c>
      <c r="Q817" t="b">
        <v>0</v>
      </c>
      <c r="R817" t="s">
        <v>23</v>
      </c>
      <c r="S817" s="5" t="str" cm="1">
        <f t="array" ref="S817:T817">_xlfn.TEXTSPLIT(R817, "/")</f>
        <v>music</v>
      </c>
      <c r="T817" s="5" t="str">
        <v>rock</v>
      </c>
    </row>
    <row r="818" spans="1:20" ht="19.5" x14ac:dyDescent="0.4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 s="4">
        <f t="shared" si="48"/>
        <v>615.21739130434787</v>
      </c>
      <c r="K818">
        <v>1392012000</v>
      </c>
      <c r="L818" s="5">
        <f t="shared" si="49"/>
        <v>106.39097744360902</v>
      </c>
      <c r="M818">
        <v>1392184800</v>
      </c>
      <c r="N818" s="9">
        <f t="shared" si="50"/>
        <v>41680.25</v>
      </c>
      <c r="O818" s="9">
        <f t="shared" si="51"/>
        <v>41682.25</v>
      </c>
      <c r="P818" t="b">
        <v>1</v>
      </c>
      <c r="Q818" t="b">
        <v>1</v>
      </c>
      <c r="R818" t="s">
        <v>33</v>
      </c>
      <c r="S818" s="5" t="str" cm="1">
        <f t="array" ref="S818:T818">_xlfn.TEXTSPLIT(R818, "/")</f>
        <v>theater</v>
      </c>
      <c r="T818" s="5" t="str">
        <v>plays</v>
      </c>
    </row>
    <row r="819" spans="1:20" ht="19.5" x14ac:dyDescent="0.4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 s="4">
        <f t="shared" si="48"/>
        <v>368.79532163742692</v>
      </c>
      <c r="K819">
        <v>1556946000</v>
      </c>
      <c r="L819" s="5">
        <f t="shared" si="49"/>
        <v>76.011249497790274</v>
      </c>
      <c r="M819">
        <v>1559365200</v>
      </c>
      <c r="N819" s="9">
        <f t="shared" si="50"/>
        <v>43589.208333333328</v>
      </c>
      <c r="O819" s="9">
        <f t="shared" si="51"/>
        <v>43617.208333333328</v>
      </c>
      <c r="P819" t="b">
        <v>0</v>
      </c>
      <c r="Q819" t="b">
        <v>1</v>
      </c>
      <c r="R819" t="s">
        <v>68</v>
      </c>
      <c r="S819" s="5" t="str" cm="1">
        <f t="array" ref="S819:T819">_xlfn.TEXTSPLIT(R819, "/")</f>
        <v>publishing</v>
      </c>
      <c r="T819" s="5" t="str">
        <v>nonfiction</v>
      </c>
    </row>
    <row r="820" spans="1:20" ht="19.5" x14ac:dyDescent="0.4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 s="4">
        <f t="shared" si="48"/>
        <v>1094.8571428571429</v>
      </c>
      <c r="K820">
        <v>1548050400</v>
      </c>
      <c r="L820" s="5">
        <f t="shared" si="49"/>
        <v>111.07246376811594</v>
      </c>
      <c r="M820">
        <v>1549173600</v>
      </c>
      <c r="N820" s="9">
        <f t="shared" si="50"/>
        <v>43486.25</v>
      </c>
      <c r="O820" s="9">
        <f t="shared" si="51"/>
        <v>43499.25</v>
      </c>
      <c r="P820" t="b">
        <v>0</v>
      </c>
      <c r="Q820" t="b">
        <v>1</v>
      </c>
      <c r="R820" t="s">
        <v>33</v>
      </c>
      <c r="S820" s="5" t="str" cm="1">
        <f t="array" ref="S820:T820">_xlfn.TEXTSPLIT(R820, "/")</f>
        <v>theater</v>
      </c>
      <c r="T820" s="5" t="str">
        <v>plays</v>
      </c>
    </row>
    <row r="821" spans="1:20" ht="33.75" x14ac:dyDescent="0.4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 s="4">
        <f t="shared" si="48"/>
        <v>50.662921348314605</v>
      </c>
      <c r="K821">
        <v>1353736800</v>
      </c>
      <c r="L821" s="5">
        <f t="shared" si="49"/>
        <v>95.936170212765958</v>
      </c>
      <c r="M821">
        <v>1355032800</v>
      </c>
      <c r="N821" s="9">
        <f t="shared" si="50"/>
        <v>41237.25</v>
      </c>
      <c r="O821" s="9">
        <f t="shared" si="51"/>
        <v>41252.25</v>
      </c>
      <c r="P821" t="b">
        <v>1</v>
      </c>
      <c r="Q821" t="b">
        <v>0</v>
      </c>
      <c r="R821" t="s">
        <v>89</v>
      </c>
      <c r="S821" s="5" t="str" cm="1">
        <f t="array" ref="S821:T821">_xlfn.TEXTSPLIT(R821, "/")</f>
        <v>games</v>
      </c>
      <c r="T821" s="5" t="str">
        <v>video games</v>
      </c>
    </row>
    <row r="822" spans="1:20" ht="19.5" x14ac:dyDescent="0.4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 s="4">
        <f t="shared" si="48"/>
        <v>800.6</v>
      </c>
      <c r="K822">
        <v>1532840400</v>
      </c>
      <c r="L822" s="5">
        <f t="shared" si="49"/>
        <v>43.043010752688176</v>
      </c>
      <c r="M822">
        <v>1533963600</v>
      </c>
      <c r="N822" s="9">
        <f t="shared" si="50"/>
        <v>43310.208333333328</v>
      </c>
      <c r="O822" s="9">
        <f t="shared" si="51"/>
        <v>43323.208333333328</v>
      </c>
      <c r="P822" t="b">
        <v>0</v>
      </c>
      <c r="Q822" t="b">
        <v>1</v>
      </c>
      <c r="R822" t="s">
        <v>23</v>
      </c>
      <c r="S822" s="5" t="str" cm="1">
        <f t="array" ref="S822:T822">_xlfn.TEXTSPLIT(R822, "/")</f>
        <v>music</v>
      </c>
      <c r="T822" s="5" t="str">
        <v>rock</v>
      </c>
    </row>
    <row r="823" spans="1:20" ht="19.5" x14ac:dyDescent="0.4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 s="4">
        <f t="shared" si="48"/>
        <v>291.28571428571428</v>
      </c>
      <c r="K823">
        <v>1488261600</v>
      </c>
      <c r="L823" s="5">
        <f t="shared" si="49"/>
        <v>67.966666666666669</v>
      </c>
      <c r="M823">
        <v>1489381200</v>
      </c>
      <c r="N823" s="9">
        <f t="shared" si="50"/>
        <v>42794.25</v>
      </c>
      <c r="O823" s="9">
        <f t="shared" si="51"/>
        <v>42807.208333333328</v>
      </c>
      <c r="P823" t="b">
        <v>0</v>
      </c>
      <c r="Q823" t="b">
        <v>0</v>
      </c>
      <c r="R823" t="s">
        <v>42</v>
      </c>
      <c r="S823" s="5" t="str" cm="1">
        <f t="array" ref="S823:T823">_xlfn.TEXTSPLIT(R823, "/")</f>
        <v>film &amp; video</v>
      </c>
      <c r="T823" s="5" t="str">
        <v>documentary</v>
      </c>
    </row>
    <row r="824" spans="1:20" ht="19.5" x14ac:dyDescent="0.4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 s="4">
        <f t="shared" si="48"/>
        <v>349.9666666666667</v>
      </c>
      <c r="K824">
        <v>1393567200</v>
      </c>
      <c r="L824" s="5">
        <f t="shared" si="49"/>
        <v>89.991428571428571</v>
      </c>
      <c r="M824">
        <v>1395032400</v>
      </c>
      <c r="N824" s="9">
        <f t="shared" si="50"/>
        <v>41698.25</v>
      </c>
      <c r="O824" s="9">
        <f t="shared" si="51"/>
        <v>41715.208333333336</v>
      </c>
      <c r="P824" t="b">
        <v>0</v>
      </c>
      <c r="Q824" t="b">
        <v>0</v>
      </c>
      <c r="R824" t="s">
        <v>23</v>
      </c>
      <c r="S824" s="5" t="str" cm="1">
        <f t="array" ref="S824:T824">_xlfn.TEXTSPLIT(R824, "/")</f>
        <v>music</v>
      </c>
      <c r="T824" s="5" t="str">
        <v>rock</v>
      </c>
    </row>
    <row r="825" spans="1:20" ht="19.5" x14ac:dyDescent="0.4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 s="4">
        <f t="shared" si="48"/>
        <v>357.07317073170731</v>
      </c>
      <c r="K825">
        <v>1410325200</v>
      </c>
      <c r="L825" s="5">
        <f t="shared" si="49"/>
        <v>58.095238095238095</v>
      </c>
      <c r="M825">
        <v>1412485200</v>
      </c>
      <c r="N825" s="9">
        <f t="shared" si="50"/>
        <v>41892.208333333336</v>
      </c>
      <c r="O825" s="9">
        <f t="shared" si="51"/>
        <v>41917.208333333336</v>
      </c>
      <c r="P825" t="b">
        <v>1</v>
      </c>
      <c r="Q825" t="b">
        <v>1</v>
      </c>
      <c r="R825" t="s">
        <v>23</v>
      </c>
      <c r="S825" s="5" t="str" cm="1">
        <f t="array" ref="S825:T825">_xlfn.TEXTSPLIT(R825, "/")</f>
        <v>music</v>
      </c>
      <c r="T825" s="5" t="str">
        <v>rock</v>
      </c>
    </row>
    <row r="826" spans="1:20" ht="19.5" x14ac:dyDescent="0.4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 s="4">
        <f t="shared" si="48"/>
        <v>126.48941176470588</v>
      </c>
      <c r="K826">
        <v>1276923600</v>
      </c>
      <c r="L826" s="5">
        <f t="shared" si="49"/>
        <v>83.996875000000003</v>
      </c>
      <c r="M826">
        <v>1279688400</v>
      </c>
      <c r="N826" s="9">
        <f t="shared" si="50"/>
        <v>40348.208333333336</v>
      </c>
      <c r="O826" s="9">
        <f t="shared" si="51"/>
        <v>40380.208333333336</v>
      </c>
      <c r="P826" t="b">
        <v>0</v>
      </c>
      <c r="Q826" t="b">
        <v>1</v>
      </c>
      <c r="R826" t="s">
        <v>68</v>
      </c>
      <c r="S826" s="5" t="str" cm="1">
        <f t="array" ref="S826:T826">_xlfn.TEXTSPLIT(R826, "/")</f>
        <v>publishing</v>
      </c>
      <c r="T826" s="5" t="str">
        <v>nonfiction</v>
      </c>
    </row>
    <row r="827" spans="1:20" ht="19.5" x14ac:dyDescent="0.4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 s="4">
        <f t="shared" si="48"/>
        <v>387.5</v>
      </c>
      <c r="K827">
        <v>1500958800</v>
      </c>
      <c r="L827" s="5">
        <f t="shared" si="49"/>
        <v>88.853503184713375</v>
      </c>
      <c r="M827">
        <v>1501995600</v>
      </c>
      <c r="N827" s="9">
        <f t="shared" si="50"/>
        <v>42941.208333333328</v>
      </c>
      <c r="O827" s="9">
        <f t="shared" si="51"/>
        <v>42953.208333333328</v>
      </c>
      <c r="P827" t="b">
        <v>0</v>
      </c>
      <c r="Q827" t="b">
        <v>0</v>
      </c>
      <c r="R827" t="s">
        <v>100</v>
      </c>
      <c r="S827" s="5" t="str" cm="1">
        <f t="array" ref="S827:T827">_xlfn.TEXTSPLIT(R827, "/")</f>
        <v>film &amp; video</v>
      </c>
      <c r="T827" s="5" t="str">
        <v>shorts</v>
      </c>
    </row>
    <row r="828" spans="1:20" ht="33.75" x14ac:dyDescent="0.4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 s="4">
        <f t="shared" si="48"/>
        <v>457.03571428571428</v>
      </c>
      <c r="K828">
        <v>1292220000</v>
      </c>
      <c r="L828" s="5">
        <f t="shared" si="49"/>
        <v>65.963917525773198</v>
      </c>
      <c r="M828">
        <v>1294639200</v>
      </c>
      <c r="N828" s="9">
        <f t="shared" si="50"/>
        <v>40525.25</v>
      </c>
      <c r="O828" s="9">
        <f t="shared" si="51"/>
        <v>40553.25</v>
      </c>
      <c r="P828" t="b">
        <v>0</v>
      </c>
      <c r="Q828" t="b">
        <v>1</v>
      </c>
      <c r="R828" t="s">
        <v>33</v>
      </c>
      <c r="S828" s="5" t="str" cm="1">
        <f t="array" ref="S828:T828">_xlfn.TEXTSPLIT(R828, "/")</f>
        <v>theater</v>
      </c>
      <c r="T828" s="5" t="str">
        <v>plays</v>
      </c>
    </row>
    <row r="829" spans="1:20" ht="33.75" x14ac:dyDescent="0.4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 s="4">
        <f t="shared" si="48"/>
        <v>266.69565217391306</v>
      </c>
      <c r="K829">
        <v>1304398800</v>
      </c>
      <c r="L829" s="5">
        <f t="shared" si="49"/>
        <v>74.804878048780495</v>
      </c>
      <c r="M829">
        <v>1305435600</v>
      </c>
      <c r="N829" s="9">
        <f t="shared" si="50"/>
        <v>40666.208333333336</v>
      </c>
      <c r="O829" s="9">
        <f t="shared" si="51"/>
        <v>40678.208333333336</v>
      </c>
      <c r="P829" t="b">
        <v>0</v>
      </c>
      <c r="Q829" t="b">
        <v>1</v>
      </c>
      <c r="R829" t="s">
        <v>53</v>
      </c>
      <c r="S829" s="5" t="str" cm="1">
        <f t="array" ref="S829:T829">_xlfn.TEXTSPLIT(R829, "/")</f>
        <v>film &amp; video</v>
      </c>
      <c r="T829" s="5" t="str">
        <v>drama</v>
      </c>
    </row>
    <row r="830" spans="1:20" ht="33.75" x14ac:dyDescent="0.4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 s="4">
        <f t="shared" si="48"/>
        <v>69</v>
      </c>
      <c r="K830">
        <v>1535432400</v>
      </c>
      <c r="L830" s="5">
        <f t="shared" si="49"/>
        <v>69.98571428571428</v>
      </c>
      <c r="M830">
        <v>1537592400</v>
      </c>
      <c r="N830" s="9">
        <f t="shared" si="50"/>
        <v>43340.208333333328</v>
      </c>
      <c r="O830" s="9">
        <f t="shared" si="51"/>
        <v>43365.208333333328</v>
      </c>
      <c r="P830" t="b">
        <v>0</v>
      </c>
      <c r="Q830" t="b">
        <v>0</v>
      </c>
      <c r="R830" t="s">
        <v>33</v>
      </c>
      <c r="S830" s="5" t="str" cm="1">
        <f t="array" ref="S830:T830">_xlfn.TEXTSPLIT(R830, "/")</f>
        <v>theater</v>
      </c>
      <c r="T830" s="5" t="str">
        <v>plays</v>
      </c>
    </row>
    <row r="831" spans="1:20" ht="19.5" x14ac:dyDescent="0.4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 s="4">
        <f t="shared" si="48"/>
        <v>51.34375</v>
      </c>
      <c r="K831">
        <v>1433826000</v>
      </c>
      <c r="L831" s="5">
        <f t="shared" si="49"/>
        <v>32.006493506493506</v>
      </c>
      <c r="M831">
        <v>1435122000</v>
      </c>
      <c r="N831" s="9">
        <f t="shared" si="50"/>
        <v>42164.208333333328</v>
      </c>
      <c r="O831" s="9">
        <f t="shared" si="51"/>
        <v>42179.208333333328</v>
      </c>
      <c r="P831" t="b">
        <v>0</v>
      </c>
      <c r="Q831" t="b">
        <v>0</v>
      </c>
      <c r="R831" t="s">
        <v>33</v>
      </c>
      <c r="S831" s="5" t="str" cm="1">
        <f t="array" ref="S831:T831">_xlfn.TEXTSPLIT(R831, "/")</f>
        <v>theater</v>
      </c>
      <c r="T831" s="5" t="str">
        <v>plays</v>
      </c>
    </row>
    <row r="832" spans="1:20" ht="33.75" x14ac:dyDescent="0.4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 s="4">
        <f t="shared" si="48"/>
        <v>1.1710526315789473</v>
      </c>
      <c r="K832">
        <v>1514959200</v>
      </c>
      <c r="L832" s="5">
        <f t="shared" si="49"/>
        <v>64.727272727272734</v>
      </c>
      <c r="M832">
        <v>1520056800</v>
      </c>
      <c r="N832" s="9">
        <f t="shared" si="50"/>
        <v>43103.25</v>
      </c>
      <c r="O832" s="9">
        <f t="shared" si="51"/>
        <v>43162.25</v>
      </c>
      <c r="P832" t="b">
        <v>0</v>
      </c>
      <c r="Q832" t="b">
        <v>0</v>
      </c>
      <c r="R832" t="s">
        <v>33</v>
      </c>
      <c r="S832" s="5" t="str" cm="1">
        <f t="array" ref="S832:T832">_xlfn.TEXTSPLIT(R832, "/")</f>
        <v>theater</v>
      </c>
      <c r="T832" s="5" t="str">
        <v>plays</v>
      </c>
    </row>
    <row r="833" spans="1:20" ht="33.75" x14ac:dyDescent="0.4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 s="4">
        <f t="shared" si="48"/>
        <v>108.97734294541709</v>
      </c>
      <c r="K833">
        <v>1332738000</v>
      </c>
      <c r="L833" s="5">
        <f t="shared" si="49"/>
        <v>24.998110087408456</v>
      </c>
      <c r="M833">
        <v>1335675600</v>
      </c>
      <c r="N833" s="9">
        <f t="shared" si="50"/>
        <v>40994.208333333336</v>
      </c>
      <c r="O833" s="9">
        <f t="shared" si="51"/>
        <v>41028.208333333336</v>
      </c>
      <c r="P833" t="b">
        <v>0</v>
      </c>
      <c r="Q833" t="b">
        <v>0</v>
      </c>
      <c r="R833" t="s">
        <v>122</v>
      </c>
      <c r="S833" s="5" t="str" cm="1">
        <f t="array" ref="S833:T833">_xlfn.TEXTSPLIT(R833, "/")</f>
        <v>photography</v>
      </c>
      <c r="T833" s="5" t="str">
        <v>photography books</v>
      </c>
    </row>
    <row r="834" spans="1:20" ht="19.5" x14ac:dyDescent="0.4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 s="4">
        <f t="shared" si="48"/>
        <v>315.17592592592592</v>
      </c>
      <c r="K834">
        <v>1445490000</v>
      </c>
      <c r="L834" s="5">
        <f t="shared" si="49"/>
        <v>104.97764070932922</v>
      </c>
      <c r="M834">
        <v>1448431200</v>
      </c>
      <c r="N834" s="9">
        <f t="shared" si="50"/>
        <v>42299.208333333328</v>
      </c>
      <c r="O834" s="9">
        <f t="shared" si="51"/>
        <v>42333.25</v>
      </c>
      <c r="P834" t="b">
        <v>1</v>
      </c>
      <c r="Q834" t="b">
        <v>0</v>
      </c>
      <c r="R834" t="s">
        <v>206</v>
      </c>
      <c r="S834" s="5" t="str" cm="1">
        <f t="array" ref="S834:T834">_xlfn.TEXTSPLIT(R834, "/")</f>
        <v>publishing</v>
      </c>
      <c r="T834" s="5" t="str">
        <v>translations</v>
      </c>
    </row>
    <row r="835" spans="1:20" ht="19.5" x14ac:dyDescent="0.4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 s="4">
        <f t="shared" ref="J835:J898" si="52">(E835/D835*100)</f>
        <v>157.69117647058823</v>
      </c>
      <c r="K835">
        <v>1297663200</v>
      </c>
      <c r="L835" s="5">
        <f t="shared" ref="L835:L898" si="53">E835/G835</f>
        <v>64.987878787878785</v>
      </c>
      <c r="M835">
        <v>1298613600</v>
      </c>
      <c r="N835" s="9">
        <f t="shared" ref="N835:N898" si="54">(((K835/60)/60)/24)+DATE(1970,1,1)</f>
        <v>40588.25</v>
      </c>
      <c r="O835" s="9">
        <f t="shared" ref="O835:O898" si="55">(((M835/60)/60)/24)+DATE(1970,1,1)</f>
        <v>40599.25</v>
      </c>
      <c r="P835" t="b">
        <v>0</v>
      </c>
      <c r="Q835" t="b">
        <v>0</v>
      </c>
      <c r="R835" t="s">
        <v>206</v>
      </c>
      <c r="S835" s="5" t="str" cm="1">
        <f t="array" ref="S835:T835">_xlfn.TEXTSPLIT(R835, "/")</f>
        <v>publishing</v>
      </c>
      <c r="T835" s="5" t="str">
        <v>translations</v>
      </c>
    </row>
    <row r="836" spans="1:20" ht="19.5" x14ac:dyDescent="0.4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 s="4">
        <f t="shared" si="52"/>
        <v>153.8082191780822</v>
      </c>
      <c r="K836">
        <v>1371963600</v>
      </c>
      <c r="L836" s="5">
        <f t="shared" si="53"/>
        <v>94.352941176470594</v>
      </c>
      <c r="M836">
        <v>1372482000</v>
      </c>
      <c r="N836" s="9">
        <f t="shared" si="54"/>
        <v>41448.208333333336</v>
      </c>
      <c r="O836" s="9">
        <f t="shared" si="55"/>
        <v>41454.208333333336</v>
      </c>
      <c r="P836" t="b">
        <v>0</v>
      </c>
      <c r="Q836" t="b">
        <v>0</v>
      </c>
      <c r="R836" t="s">
        <v>33</v>
      </c>
      <c r="S836" s="5" t="str" cm="1">
        <f t="array" ref="S836:T836">_xlfn.TEXTSPLIT(R836, "/")</f>
        <v>theater</v>
      </c>
      <c r="T836" s="5" t="str">
        <v>plays</v>
      </c>
    </row>
    <row r="837" spans="1:20" ht="19.5" x14ac:dyDescent="0.4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 s="4">
        <f t="shared" si="52"/>
        <v>89.738979118329468</v>
      </c>
      <c r="K837">
        <v>1425103200</v>
      </c>
      <c r="L837" s="5">
        <f t="shared" si="53"/>
        <v>44.001706484641637</v>
      </c>
      <c r="M837">
        <v>1425621600</v>
      </c>
      <c r="N837" s="9">
        <f t="shared" si="54"/>
        <v>42063.25</v>
      </c>
      <c r="O837" s="9">
        <f t="shared" si="55"/>
        <v>42069.25</v>
      </c>
      <c r="P837" t="b">
        <v>0</v>
      </c>
      <c r="Q837" t="b">
        <v>0</v>
      </c>
      <c r="R837" t="s">
        <v>28</v>
      </c>
      <c r="S837" s="5" t="str" cm="1">
        <f t="array" ref="S837:T837">_xlfn.TEXTSPLIT(R837, "/")</f>
        <v>technology</v>
      </c>
      <c r="T837" s="5" t="str">
        <v>web</v>
      </c>
    </row>
    <row r="838" spans="1:20" ht="19.5" x14ac:dyDescent="0.4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 s="4">
        <f t="shared" si="52"/>
        <v>75.135802469135797</v>
      </c>
      <c r="K838">
        <v>1265349600</v>
      </c>
      <c r="L838" s="5">
        <f t="shared" si="53"/>
        <v>64.744680851063833</v>
      </c>
      <c r="M838">
        <v>1266300000</v>
      </c>
      <c r="N838" s="9">
        <f t="shared" si="54"/>
        <v>40214.25</v>
      </c>
      <c r="O838" s="9">
        <f t="shared" si="55"/>
        <v>40225.25</v>
      </c>
      <c r="P838" t="b">
        <v>0</v>
      </c>
      <c r="Q838" t="b">
        <v>0</v>
      </c>
      <c r="R838" t="s">
        <v>60</v>
      </c>
      <c r="S838" s="5" t="str" cm="1">
        <f t="array" ref="S838:T838">_xlfn.TEXTSPLIT(R838, "/")</f>
        <v>music</v>
      </c>
      <c r="T838" s="5" t="str">
        <v>indie rock</v>
      </c>
    </row>
    <row r="839" spans="1:20" ht="19.5" x14ac:dyDescent="0.4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 s="4">
        <f t="shared" si="52"/>
        <v>852.88135593220341</v>
      </c>
      <c r="K839">
        <v>1301202000</v>
      </c>
      <c r="L839" s="5">
        <f t="shared" si="53"/>
        <v>84.00667779632721</v>
      </c>
      <c r="M839">
        <v>1305867600</v>
      </c>
      <c r="N839" s="9">
        <f t="shared" si="54"/>
        <v>40629.208333333336</v>
      </c>
      <c r="O839" s="9">
        <f t="shared" si="55"/>
        <v>40683.208333333336</v>
      </c>
      <c r="P839" t="b">
        <v>0</v>
      </c>
      <c r="Q839" t="b">
        <v>0</v>
      </c>
      <c r="R839" t="s">
        <v>159</v>
      </c>
      <c r="S839" s="5" t="str" cm="1">
        <f t="array" ref="S839:T839">_xlfn.TEXTSPLIT(R839, "/")</f>
        <v>music</v>
      </c>
      <c r="T839" s="5" t="str">
        <v>jazz</v>
      </c>
    </row>
    <row r="840" spans="1:20" ht="19.5" x14ac:dyDescent="0.4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 s="4">
        <f t="shared" si="52"/>
        <v>138.90625</v>
      </c>
      <c r="K840">
        <v>1538024400</v>
      </c>
      <c r="L840" s="5">
        <f t="shared" si="53"/>
        <v>34.061302681992338</v>
      </c>
      <c r="M840">
        <v>1538802000</v>
      </c>
      <c r="N840" s="9">
        <f t="shared" si="54"/>
        <v>43370.208333333328</v>
      </c>
      <c r="O840" s="9">
        <f t="shared" si="55"/>
        <v>43379.208333333328</v>
      </c>
      <c r="P840" t="b">
        <v>0</v>
      </c>
      <c r="Q840" t="b">
        <v>0</v>
      </c>
      <c r="R840" t="s">
        <v>33</v>
      </c>
      <c r="S840" s="5" t="str" cm="1">
        <f t="array" ref="S840:T840">_xlfn.TEXTSPLIT(R840, "/")</f>
        <v>theater</v>
      </c>
      <c r="T840" s="5" t="str">
        <v>plays</v>
      </c>
    </row>
    <row r="841" spans="1:20" ht="19.5" x14ac:dyDescent="0.4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 s="4">
        <f t="shared" si="52"/>
        <v>190.18181818181819</v>
      </c>
      <c r="K841">
        <v>1395032400</v>
      </c>
      <c r="L841" s="5">
        <f t="shared" si="53"/>
        <v>93.273885350318466</v>
      </c>
      <c r="M841">
        <v>1398920400</v>
      </c>
      <c r="N841" s="9">
        <f t="shared" si="54"/>
        <v>41715.208333333336</v>
      </c>
      <c r="O841" s="9">
        <f t="shared" si="55"/>
        <v>41760.208333333336</v>
      </c>
      <c r="P841" t="b">
        <v>0</v>
      </c>
      <c r="Q841" t="b">
        <v>1</v>
      </c>
      <c r="R841" t="s">
        <v>42</v>
      </c>
      <c r="S841" s="5" t="str" cm="1">
        <f t="array" ref="S841:T841">_xlfn.TEXTSPLIT(R841, "/")</f>
        <v>film &amp; video</v>
      </c>
      <c r="T841" s="5" t="str">
        <v>documentary</v>
      </c>
    </row>
    <row r="842" spans="1:20" ht="19.5" x14ac:dyDescent="0.4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 s="4">
        <f t="shared" si="52"/>
        <v>100.24333619948409</v>
      </c>
      <c r="K842">
        <v>1405486800</v>
      </c>
      <c r="L842" s="5">
        <f t="shared" si="53"/>
        <v>32.998301726577978</v>
      </c>
      <c r="M842">
        <v>1405659600</v>
      </c>
      <c r="N842" s="9">
        <f t="shared" si="54"/>
        <v>41836.208333333336</v>
      </c>
      <c r="O842" s="9">
        <f t="shared" si="55"/>
        <v>41838.208333333336</v>
      </c>
      <c r="P842" t="b">
        <v>0</v>
      </c>
      <c r="Q842" t="b">
        <v>1</v>
      </c>
      <c r="R842" t="s">
        <v>33</v>
      </c>
      <c r="S842" s="5" t="str" cm="1">
        <f t="array" ref="S842:T842">_xlfn.TEXTSPLIT(R842, "/")</f>
        <v>theater</v>
      </c>
      <c r="T842" s="5" t="str">
        <v>plays</v>
      </c>
    </row>
    <row r="843" spans="1:20" ht="19.5" x14ac:dyDescent="0.4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 s="4">
        <f t="shared" si="52"/>
        <v>142.75824175824175</v>
      </c>
      <c r="K843">
        <v>1455861600</v>
      </c>
      <c r="L843" s="5">
        <f t="shared" si="53"/>
        <v>83.812903225806451</v>
      </c>
      <c r="M843">
        <v>1457244000</v>
      </c>
      <c r="N843" s="9">
        <f t="shared" si="54"/>
        <v>42419.25</v>
      </c>
      <c r="O843" s="9">
        <f t="shared" si="55"/>
        <v>42435.25</v>
      </c>
      <c r="P843" t="b">
        <v>0</v>
      </c>
      <c r="Q843" t="b">
        <v>0</v>
      </c>
      <c r="R843" t="s">
        <v>28</v>
      </c>
      <c r="S843" s="5" t="str" cm="1">
        <f t="array" ref="S843:T843">_xlfn.TEXTSPLIT(R843, "/")</f>
        <v>technology</v>
      </c>
      <c r="T843" s="5" t="str">
        <v>web</v>
      </c>
    </row>
    <row r="844" spans="1:20" ht="33.75" x14ac:dyDescent="0.4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 s="4">
        <f t="shared" si="52"/>
        <v>563.13333333333333</v>
      </c>
      <c r="K844">
        <v>1529038800</v>
      </c>
      <c r="L844" s="5">
        <f t="shared" si="53"/>
        <v>63.992424242424242</v>
      </c>
      <c r="M844">
        <v>1529298000</v>
      </c>
      <c r="N844" s="9">
        <f t="shared" si="54"/>
        <v>43266.208333333328</v>
      </c>
      <c r="O844" s="9">
        <f t="shared" si="55"/>
        <v>43269.208333333328</v>
      </c>
      <c r="P844" t="b">
        <v>0</v>
      </c>
      <c r="Q844" t="b">
        <v>0</v>
      </c>
      <c r="R844" t="s">
        <v>65</v>
      </c>
      <c r="S844" s="5" t="str" cm="1">
        <f t="array" ref="S844:T844">_xlfn.TEXTSPLIT(R844, "/")</f>
        <v>technology</v>
      </c>
      <c r="T844" s="5" t="str">
        <v>wearables</v>
      </c>
    </row>
    <row r="845" spans="1:20" ht="33.75" x14ac:dyDescent="0.4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 s="4">
        <f t="shared" si="52"/>
        <v>30.715909090909086</v>
      </c>
      <c r="K845">
        <v>1535259600</v>
      </c>
      <c r="L845" s="5">
        <f t="shared" si="53"/>
        <v>81.909090909090907</v>
      </c>
      <c r="M845">
        <v>1535778000</v>
      </c>
      <c r="N845" s="9">
        <f t="shared" si="54"/>
        <v>43338.208333333328</v>
      </c>
      <c r="O845" s="9">
        <f t="shared" si="55"/>
        <v>43344.208333333328</v>
      </c>
      <c r="P845" t="b">
        <v>0</v>
      </c>
      <c r="Q845" t="b">
        <v>0</v>
      </c>
      <c r="R845" t="s">
        <v>122</v>
      </c>
      <c r="S845" s="5" t="str" cm="1">
        <f t="array" ref="S845:T845">_xlfn.TEXTSPLIT(R845, "/")</f>
        <v>photography</v>
      </c>
      <c r="T845" s="5" t="str">
        <v>photography books</v>
      </c>
    </row>
    <row r="846" spans="1:20" ht="19.5" x14ac:dyDescent="0.4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 s="4">
        <f t="shared" si="52"/>
        <v>99.39772727272728</v>
      </c>
      <c r="K846">
        <v>1327212000</v>
      </c>
      <c r="L846" s="5">
        <f t="shared" si="53"/>
        <v>93.053191489361708</v>
      </c>
      <c r="M846">
        <v>1327471200</v>
      </c>
      <c r="N846" s="9">
        <f t="shared" si="54"/>
        <v>40930.25</v>
      </c>
      <c r="O846" s="9">
        <f t="shared" si="55"/>
        <v>40933.25</v>
      </c>
      <c r="P846" t="b">
        <v>0</v>
      </c>
      <c r="Q846" t="b">
        <v>0</v>
      </c>
      <c r="R846" t="s">
        <v>42</v>
      </c>
      <c r="S846" s="5" t="str" cm="1">
        <f t="array" ref="S846:T846">_xlfn.TEXTSPLIT(R846, "/")</f>
        <v>film &amp; video</v>
      </c>
      <c r="T846" s="5" t="str">
        <v>documentary</v>
      </c>
    </row>
    <row r="847" spans="1:20" ht="19.5" x14ac:dyDescent="0.4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 s="4">
        <f t="shared" si="52"/>
        <v>197.54935622317598</v>
      </c>
      <c r="K847">
        <v>1526360400</v>
      </c>
      <c r="L847" s="5">
        <f t="shared" si="53"/>
        <v>101.98449039881831</v>
      </c>
      <c r="M847">
        <v>1529557200</v>
      </c>
      <c r="N847" s="9">
        <f t="shared" si="54"/>
        <v>43235.208333333328</v>
      </c>
      <c r="O847" s="9">
        <f t="shared" si="55"/>
        <v>43272.208333333328</v>
      </c>
      <c r="P847" t="b">
        <v>0</v>
      </c>
      <c r="Q847" t="b">
        <v>0</v>
      </c>
      <c r="R847" t="s">
        <v>28</v>
      </c>
      <c r="S847" s="5" t="str" cm="1">
        <f t="array" ref="S847:T847">_xlfn.TEXTSPLIT(R847, "/")</f>
        <v>technology</v>
      </c>
      <c r="T847" s="5" t="str">
        <v>web</v>
      </c>
    </row>
    <row r="848" spans="1:20" ht="19.5" x14ac:dyDescent="0.4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 s="4">
        <f t="shared" si="52"/>
        <v>508.5</v>
      </c>
      <c r="K848">
        <v>1532149200</v>
      </c>
      <c r="L848" s="5">
        <f t="shared" si="53"/>
        <v>105.9375</v>
      </c>
      <c r="M848">
        <v>1535259600</v>
      </c>
      <c r="N848" s="9">
        <f t="shared" si="54"/>
        <v>43302.208333333328</v>
      </c>
      <c r="O848" s="9">
        <f t="shared" si="55"/>
        <v>43338.208333333328</v>
      </c>
      <c r="P848" t="b">
        <v>1</v>
      </c>
      <c r="Q848" t="b">
        <v>1</v>
      </c>
      <c r="R848" t="s">
        <v>28</v>
      </c>
      <c r="S848" s="5" t="str" cm="1">
        <f t="array" ref="S848:T848">_xlfn.TEXTSPLIT(R848, "/")</f>
        <v>technology</v>
      </c>
      <c r="T848" s="5" t="str">
        <v>web</v>
      </c>
    </row>
    <row r="849" spans="1:20" ht="19.5" x14ac:dyDescent="0.4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 s="4">
        <f t="shared" si="52"/>
        <v>237.74468085106383</v>
      </c>
      <c r="K849">
        <v>1515304800</v>
      </c>
      <c r="L849" s="5">
        <f t="shared" si="53"/>
        <v>101.58181818181818</v>
      </c>
      <c r="M849">
        <v>1515564000</v>
      </c>
      <c r="N849" s="9">
        <f t="shared" si="54"/>
        <v>43107.25</v>
      </c>
      <c r="O849" s="9">
        <f t="shared" si="55"/>
        <v>43110.25</v>
      </c>
      <c r="P849" t="b">
        <v>0</v>
      </c>
      <c r="Q849" t="b">
        <v>0</v>
      </c>
      <c r="R849" t="s">
        <v>17</v>
      </c>
      <c r="S849" s="5" t="str" cm="1">
        <f t="array" ref="S849:T849">_xlfn.TEXTSPLIT(R849, "/")</f>
        <v>food</v>
      </c>
      <c r="T849" s="5" t="str">
        <v>food trucks</v>
      </c>
    </row>
    <row r="850" spans="1:20" ht="19.5" x14ac:dyDescent="0.4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 s="4">
        <f t="shared" si="52"/>
        <v>338.46875</v>
      </c>
      <c r="K850">
        <v>1276318800</v>
      </c>
      <c r="L850" s="5">
        <f t="shared" si="53"/>
        <v>62.970930232558139</v>
      </c>
      <c r="M850">
        <v>1277096400</v>
      </c>
      <c r="N850" s="9">
        <f t="shared" si="54"/>
        <v>40341.208333333336</v>
      </c>
      <c r="O850" s="9">
        <f t="shared" si="55"/>
        <v>40350.208333333336</v>
      </c>
      <c r="P850" t="b">
        <v>0</v>
      </c>
      <c r="Q850" t="b">
        <v>0</v>
      </c>
      <c r="R850" t="s">
        <v>53</v>
      </c>
      <c r="S850" s="5" t="str" cm="1">
        <f t="array" ref="S850:T850">_xlfn.TEXTSPLIT(R850, "/")</f>
        <v>film &amp; video</v>
      </c>
      <c r="T850" s="5" t="str">
        <v>drama</v>
      </c>
    </row>
    <row r="851" spans="1:20" ht="19.5" x14ac:dyDescent="0.4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 s="4">
        <f t="shared" si="52"/>
        <v>133.08955223880596</v>
      </c>
      <c r="K851">
        <v>1328767200</v>
      </c>
      <c r="L851" s="5">
        <f t="shared" si="53"/>
        <v>29.045602605863191</v>
      </c>
      <c r="M851">
        <v>1329026400</v>
      </c>
      <c r="N851" s="9">
        <f t="shared" si="54"/>
        <v>40948.25</v>
      </c>
      <c r="O851" s="9">
        <f t="shared" si="55"/>
        <v>40951.25</v>
      </c>
      <c r="P851" t="b">
        <v>0</v>
      </c>
      <c r="Q851" t="b">
        <v>1</v>
      </c>
      <c r="R851" t="s">
        <v>60</v>
      </c>
      <c r="S851" s="5" t="str" cm="1">
        <f t="array" ref="S851:T851">_xlfn.TEXTSPLIT(R851, "/")</f>
        <v>music</v>
      </c>
      <c r="T851" s="5" t="str">
        <v>indie rock</v>
      </c>
    </row>
    <row r="852" spans="1:20" ht="19.5" x14ac:dyDescent="0.4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 s="4">
        <f t="shared" si="52"/>
        <v>1</v>
      </c>
      <c r="K852">
        <v>1321682400</v>
      </c>
      <c r="L852" s="5">
        <f t="shared" si="53"/>
        <v>1</v>
      </c>
      <c r="M852">
        <v>1322978400</v>
      </c>
      <c r="N852" s="9">
        <f t="shared" si="54"/>
        <v>40866.25</v>
      </c>
      <c r="O852" s="9">
        <f t="shared" si="55"/>
        <v>40881.25</v>
      </c>
      <c r="P852" t="b">
        <v>1</v>
      </c>
      <c r="Q852" t="b">
        <v>0</v>
      </c>
      <c r="R852" t="s">
        <v>23</v>
      </c>
      <c r="S852" s="5" t="str" cm="1">
        <f t="array" ref="S852:T852">_xlfn.TEXTSPLIT(R852, "/")</f>
        <v>music</v>
      </c>
      <c r="T852" s="5" t="str">
        <v>rock</v>
      </c>
    </row>
    <row r="853" spans="1:20" ht="33.75" x14ac:dyDescent="0.4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 s="4">
        <f t="shared" si="52"/>
        <v>207.79999999999998</v>
      </c>
      <c r="K853">
        <v>1335934800</v>
      </c>
      <c r="L853" s="5">
        <f t="shared" si="53"/>
        <v>77.924999999999997</v>
      </c>
      <c r="M853">
        <v>1338786000</v>
      </c>
      <c r="N853" s="9">
        <f t="shared" si="54"/>
        <v>41031.208333333336</v>
      </c>
      <c r="O853" s="9">
        <f t="shared" si="55"/>
        <v>41064.208333333336</v>
      </c>
      <c r="P853" t="b">
        <v>0</v>
      </c>
      <c r="Q853" t="b">
        <v>0</v>
      </c>
      <c r="R853" t="s">
        <v>50</v>
      </c>
      <c r="S853" s="5" t="str" cm="1">
        <f t="array" ref="S853:T853">_xlfn.TEXTSPLIT(R853, "/")</f>
        <v>music</v>
      </c>
      <c r="T853" s="5" t="str">
        <v>electric music</v>
      </c>
    </row>
    <row r="854" spans="1:20" ht="19.5" x14ac:dyDescent="0.4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 s="4">
        <f t="shared" si="52"/>
        <v>51.122448979591837</v>
      </c>
      <c r="K854">
        <v>1310792400</v>
      </c>
      <c r="L854" s="5">
        <f t="shared" si="53"/>
        <v>80.806451612903231</v>
      </c>
      <c r="M854">
        <v>1311656400</v>
      </c>
      <c r="N854" s="9">
        <f t="shared" si="54"/>
        <v>40740.208333333336</v>
      </c>
      <c r="O854" s="9">
        <f t="shared" si="55"/>
        <v>40750.208333333336</v>
      </c>
      <c r="P854" t="b">
        <v>0</v>
      </c>
      <c r="Q854" t="b">
        <v>1</v>
      </c>
      <c r="R854" t="s">
        <v>89</v>
      </c>
      <c r="S854" s="5" t="str" cm="1">
        <f t="array" ref="S854:T854">_xlfn.TEXTSPLIT(R854, "/")</f>
        <v>games</v>
      </c>
      <c r="T854" s="5" t="str">
        <v>video games</v>
      </c>
    </row>
    <row r="855" spans="1:20" ht="19.5" x14ac:dyDescent="0.4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 s="4">
        <f t="shared" si="52"/>
        <v>652.05847953216369</v>
      </c>
      <c r="K855">
        <v>1308546000</v>
      </c>
      <c r="L855" s="5">
        <f t="shared" si="53"/>
        <v>76.006816632583508</v>
      </c>
      <c r="M855">
        <v>1308978000</v>
      </c>
      <c r="N855" s="9">
        <f t="shared" si="54"/>
        <v>40714.208333333336</v>
      </c>
      <c r="O855" s="9">
        <f t="shared" si="55"/>
        <v>40719.208333333336</v>
      </c>
      <c r="P855" t="b">
        <v>0</v>
      </c>
      <c r="Q855" t="b">
        <v>1</v>
      </c>
      <c r="R855" t="s">
        <v>60</v>
      </c>
      <c r="S855" s="5" t="str" cm="1">
        <f t="array" ref="S855:T855">_xlfn.TEXTSPLIT(R855, "/")</f>
        <v>music</v>
      </c>
      <c r="T855" s="5" t="str">
        <v>indie rock</v>
      </c>
    </row>
    <row r="856" spans="1:20" ht="19.5" x14ac:dyDescent="0.4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 s="4">
        <f t="shared" si="52"/>
        <v>113.63099415204678</v>
      </c>
      <c r="K856">
        <v>1574056800</v>
      </c>
      <c r="L856" s="5">
        <f t="shared" si="53"/>
        <v>72.993613824192337</v>
      </c>
      <c r="M856">
        <v>1576389600</v>
      </c>
      <c r="N856" s="9">
        <f t="shared" si="54"/>
        <v>43787.25</v>
      </c>
      <c r="O856" s="9">
        <f t="shared" si="55"/>
        <v>43814.25</v>
      </c>
      <c r="P856" t="b">
        <v>0</v>
      </c>
      <c r="Q856" t="b">
        <v>0</v>
      </c>
      <c r="R856" t="s">
        <v>119</v>
      </c>
      <c r="S856" s="5" t="str" cm="1">
        <f t="array" ref="S856:T856">_xlfn.TEXTSPLIT(R856, "/")</f>
        <v>publishing</v>
      </c>
      <c r="T856" s="5" t="str">
        <v>fiction</v>
      </c>
    </row>
    <row r="857" spans="1:20" ht="19.5" x14ac:dyDescent="0.4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 s="4">
        <f t="shared" si="52"/>
        <v>102.37606837606839</v>
      </c>
      <c r="K857">
        <v>1308373200</v>
      </c>
      <c r="L857" s="5">
        <f t="shared" si="53"/>
        <v>53</v>
      </c>
      <c r="M857">
        <v>1311051600</v>
      </c>
      <c r="N857" s="9">
        <f t="shared" si="54"/>
        <v>40712.208333333336</v>
      </c>
      <c r="O857" s="9">
        <f t="shared" si="55"/>
        <v>40743.208333333336</v>
      </c>
      <c r="P857" t="b">
        <v>0</v>
      </c>
      <c r="Q857" t="b">
        <v>0</v>
      </c>
      <c r="R857" t="s">
        <v>33</v>
      </c>
      <c r="S857" s="5" t="str" cm="1">
        <f t="array" ref="S857:T857">_xlfn.TEXTSPLIT(R857, "/")</f>
        <v>theater</v>
      </c>
      <c r="T857" s="5" t="str">
        <v>plays</v>
      </c>
    </row>
    <row r="858" spans="1:20" ht="19.5" x14ac:dyDescent="0.4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 s="4">
        <f t="shared" si="52"/>
        <v>356.58333333333331</v>
      </c>
      <c r="K858">
        <v>1335243600</v>
      </c>
      <c r="L858" s="5">
        <f t="shared" si="53"/>
        <v>54.164556962025316</v>
      </c>
      <c r="M858">
        <v>1336712400</v>
      </c>
      <c r="N858" s="9">
        <f t="shared" si="54"/>
        <v>41023.208333333336</v>
      </c>
      <c r="O858" s="9">
        <f t="shared" si="55"/>
        <v>41040.208333333336</v>
      </c>
      <c r="P858" t="b">
        <v>0</v>
      </c>
      <c r="Q858" t="b">
        <v>0</v>
      </c>
      <c r="R858" t="s">
        <v>17</v>
      </c>
      <c r="S858" s="5" t="str" cm="1">
        <f t="array" ref="S858:T858">_xlfn.TEXTSPLIT(R858, "/")</f>
        <v>food</v>
      </c>
      <c r="T858" s="5" t="str">
        <v>food trucks</v>
      </c>
    </row>
    <row r="859" spans="1:20" ht="33.75" x14ac:dyDescent="0.4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 s="4">
        <f t="shared" si="52"/>
        <v>139.86792452830187</v>
      </c>
      <c r="K859">
        <v>1328421600</v>
      </c>
      <c r="L859" s="5">
        <f t="shared" si="53"/>
        <v>32.946666666666665</v>
      </c>
      <c r="M859">
        <v>1330408800</v>
      </c>
      <c r="N859" s="9">
        <f t="shared" si="54"/>
        <v>40944.25</v>
      </c>
      <c r="O859" s="9">
        <f t="shared" si="55"/>
        <v>40967.25</v>
      </c>
      <c r="P859" t="b">
        <v>1</v>
      </c>
      <c r="Q859" t="b">
        <v>0</v>
      </c>
      <c r="R859" t="s">
        <v>100</v>
      </c>
      <c r="S859" s="5" t="str" cm="1">
        <f t="array" ref="S859:T859">_xlfn.TEXTSPLIT(R859, "/")</f>
        <v>film &amp; video</v>
      </c>
      <c r="T859" s="5" t="str">
        <v>shorts</v>
      </c>
    </row>
    <row r="860" spans="1:20" ht="33.75" x14ac:dyDescent="0.4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 s="4">
        <f t="shared" si="52"/>
        <v>69.45</v>
      </c>
      <c r="K860">
        <v>1524286800</v>
      </c>
      <c r="L860" s="5">
        <f t="shared" si="53"/>
        <v>79.371428571428567</v>
      </c>
      <c r="M860">
        <v>1524891600</v>
      </c>
      <c r="N860" s="9">
        <f t="shared" si="54"/>
        <v>43211.208333333328</v>
      </c>
      <c r="O860" s="9">
        <f t="shared" si="55"/>
        <v>43218.208333333328</v>
      </c>
      <c r="P860" t="b">
        <v>1</v>
      </c>
      <c r="Q860" t="b">
        <v>0</v>
      </c>
      <c r="R860" t="s">
        <v>17</v>
      </c>
      <c r="S860" s="5" t="str" cm="1">
        <f t="array" ref="S860:T860">_xlfn.TEXTSPLIT(R860, "/")</f>
        <v>food</v>
      </c>
      <c r="T860" s="5" t="str">
        <v>food trucks</v>
      </c>
    </row>
    <row r="861" spans="1:20" ht="33.75" x14ac:dyDescent="0.4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 s="4">
        <f t="shared" si="52"/>
        <v>35.534246575342465</v>
      </c>
      <c r="K861">
        <v>1362117600</v>
      </c>
      <c r="L861" s="5">
        <f t="shared" si="53"/>
        <v>41.174603174603178</v>
      </c>
      <c r="M861">
        <v>1363669200</v>
      </c>
      <c r="N861" s="9">
        <f t="shared" si="54"/>
        <v>41334.25</v>
      </c>
      <c r="O861" s="9">
        <f t="shared" si="55"/>
        <v>41352.208333333336</v>
      </c>
      <c r="P861" t="b">
        <v>0</v>
      </c>
      <c r="Q861" t="b">
        <v>1</v>
      </c>
      <c r="R861" t="s">
        <v>33</v>
      </c>
      <c r="S861" s="5" t="str" cm="1">
        <f t="array" ref="S861:T861">_xlfn.TEXTSPLIT(R861, "/")</f>
        <v>theater</v>
      </c>
      <c r="T861" s="5" t="str">
        <v>plays</v>
      </c>
    </row>
    <row r="862" spans="1:20" ht="33.75" x14ac:dyDescent="0.4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 s="4">
        <f t="shared" si="52"/>
        <v>251.65</v>
      </c>
      <c r="K862">
        <v>1550556000</v>
      </c>
      <c r="L862" s="5">
        <f t="shared" si="53"/>
        <v>77.430769230769229</v>
      </c>
      <c r="M862">
        <v>1551420000</v>
      </c>
      <c r="N862" s="9">
        <f t="shared" si="54"/>
        <v>43515.25</v>
      </c>
      <c r="O862" s="9">
        <f t="shared" si="55"/>
        <v>43525.25</v>
      </c>
      <c r="P862" t="b">
        <v>0</v>
      </c>
      <c r="Q862" t="b">
        <v>1</v>
      </c>
      <c r="R862" t="s">
        <v>65</v>
      </c>
      <c r="S862" s="5" t="str" cm="1">
        <f t="array" ref="S862:T862">_xlfn.TEXTSPLIT(R862, "/")</f>
        <v>technology</v>
      </c>
      <c r="T862" s="5" t="str">
        <v>wearables</v>
      </c>
    </row>
    <row r="863" spans="1:20" ht="19.5" x14ac:dyDescent="0.4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 s="4">
        <f t="shared" si="52"/>
        <v>105.87500000000001</v>
      </c>
      <c r="K863">
        <v>1269147600</v>
      </c>
      <c r="L863" s="5">
        <f t="shared" si="53"/>
        <v>57.159509202453989</v>
      </c>
      <c r="M863">
        <v>1269838800</v>
      </c>
      <c r="N863" s="9">
        <f t="shared" si="54"/>
        <v>40258.208333333336</v>
      </c>
      <c r="O863" s="9">
        <f t="shared" si="55"/>
        <v>40266.208333333336</v>
      </c>
      <c r="P863" t="b">
        <v>0</v>
      </c>
      <c r="Q863" t="b">
        <v>0</v>
      </c>
      <c r="R863" t="s">
        <v>33</v>
      </c>
      <c r="S863" s="5" t="str" cm="1">
        <f t="array" ref="S863:T863">_xlfn.TEXTSPLIT(R863, "/")</f>
        <v>theater</v>
      </c>
      <c r="T863" s="5" t="str">
        <v>plays</v>
      </c>
    </row>
    <row r="864" spans="1:20" ht="19.5" x14ac:dyDescent="0.4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 s="4">
        <f t="shared" si="52"/>
        <v>187.42857142857144</v>
      </c>
      <c r="K864">
        <v>1312174800</v>
      </c>
      <c r="L864" s="5">
        <f t="shared" si="53"/>
        <v>77.17647058823529</v>
      </c>
      <c r="M864">
        <v>1312520400</v>
      </c>
      <c r="N864" s="9">
        <f t="shared" si="54"/>
        <v>40756.208333333336</v>
      </c>
      <c r="O864" s="9">
        <f t="shared" si="55"/>
        <v>40760.208333333336</v>
      </c>
      <c r="P864" t="b">
        <v>0</v>
      </c>
      <c r="Q864" t="b">
        <v>0</v>
      </c>
      <c r="R864" t="s">
        <v>33</v>
      </c>
      <c r="S864" s="5" t="str" cm="1">
        <f t="array" ref="S864:T864">_xlfn.TEXTSPLIT(R864, "/")</f>
        <v>theater</v>
      </c>
      <c r="T864" s="5" t="str">
        <v>plays</v>
      </c>
    </row>
    <row r="865" spans="1:20" ht="19.5" x14ac:dyDescent="0.4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 s="4">
        <f t="shared" si="52"/>
        <v>386.78571428571428</v>
      </c>
      <c r="K865">
        <v>1434517200</v>
      </c>
      <c r="L865" s="5">
        <f t="shared" si="53"/>
        <v>24.953917050691246</v>
      </c>
      <c r="M865">
        <v>1436504400</v>
      </c>
      <c r="N865" s="9">
        <f t="shared" si="54"/>
        <v>42172.208333333328</v>
      </c>
      <c r="O865" s="9">
        <f t="shared" si="55"/>
        <v>42195.208333333328</v>
      </c>
      <c r="P865" t="b">
        <v>0</v>
      </c>
      <c r="Q865" t="b">
        <v>1</v>
      </c>
      <c r="R865" t="s">
        <v>269</v>
      </c>
      <c r="S865" s="5" t="str" cm="1">
        <f t="array" ref="S865:T865">_xlfn.TEXTSPLIT(R865, "/")</f>
        <v>film &amp; video</v>
      </c>
      <c r="T865" s="5" t="str">
        <v>television</v>
      </c>
    </row>
    <row r="866" spans="1:20" ht="19.5" x14ac:dyDescent="0.4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 s="4">
        <f t="shared" si="52"/>
        <v>347.07142857142856</v>
      </c>
      <c r="K866">
        <v>1471582800</v>
      </c>
      <c r="L866" s="5">
        <f t="shared" si="53"/>
        <v>97.18</v>
      </c>
      <c r="M866">
        <v>1472014800</v>
      </c>
      <c r="N866" s="9">
        <f t="shared" si="54"/>
        <v>42601.208333333328</v>
      </c>
      <c r="O866" s="9">
        <f t="shared" si="55"/>
        <v>42606.208333333328</v>
      </c>
      <c r="P866" t="b">
        <v>0</v>
      </c>
      <c r="Q866" t="b">
        <v>0</v>
      </c>
      <c r="R866" t="s">
        <v>100</v>
      </c>
      <c r="S866" s="5" t="str" cm="1">
        <f t="array" ref="S866:T866">_xlfn.TEXTSPLIT(R866, "/")</f>
        <v>film &amp; video</v>
      </c>
      <c r="T866" s="5" t="str">
        <v>shorts</v>
      </c>
    </row>
    <row r="867" spans="1:20" ht="19.5" x14ac:dyDescent="0.4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 s="4">
        <f t="shared" si="52"/>
        <v>185.82098765432099</v>
      </c>
      <c r="K867">
        <v>1410757200</v>
      </c>
      <c r="L867" s="5">
        <f t="shared" si="53"/>
        <v>46.000916870415651</v>
      </c>
      <c r="M867">
        <v>1411534800</v>
      </c>
      <c r="N867" s="9">
        <f t="shared" si="54"/>
        <v>41897.208333333336</v>
      </c>
      <c r="O867" s="9">
        <f t="shared" si="55"/>
        <v>41906.208333333336</v>
      </c>
      <c r="P867" t="b">
        <v>0</v>
      </c>
      <c r="Q867" t="b">
        <v>0</v>
      </c>
      <c r="R867" t="s">
        <v>33</v>
      </c>
      <c r="S867" s="5" t="str" cm="1">
        <f t="array" ref="S867:T867">_xlfn.TEXTSPLIT(R867, "/")</f>
        <v>theater</v>
      </c>
      <c r="T867" s="5" t="str">
        <v>plays</v>
      </c>
    </row>
    <row r="868" spans="1:20" ht="19.5" x14ac:dyDescent="0.4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 s="4">
        <f t="shared" si="52"/>
        <v>43.241247264770237</v>
      </c>
      <c r="K868">
        <v>1304830800</v>
      </c>
      <c r="L868" s="5">
        <f t="shared" si="53"/>
        <v>88.023385300668153</v>
      </c>
      <c r="M868">
        <v>1304917200</v>
      </c>
      <c r="N868" s="9">
        <f t="shared" si="54"/>
        <v>40671.208333333336</v>
      </c>
      <c r="O868" s="9">
        <f t="shared" si="55"/>
        <v>40672.208333333336</v>
      </c>
      <c r="P868" t="b">
        <v>0</v>
      </c>
      <c r="Q868" t="b">
        <v>0</v>
      </c>
      <c r="R868" t="s">
        <v>122</v>
      </c>
      <c r="S868" s="5" t="str" cm="1">
        <f t="array" ref="S868:T868">_xlfn.TEXTSPLIT(R868, "/")</f>
        <v>photography</v>
      </c>
      <c r="T868" s="5" t="str">
        <v>photography books</v>
      </c>
    </row>
    <row r="869" spans="1:20" ht="33.75" x14ac:dyDescent="0.4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 s="4">
        <f t="shared" si="52"/>
        <v>162.4375</v>
      </c>
      <c r="K869">
        <v>1539061200</v>
      </c>
      <c r="L869" s="5">
        <f t="shared" si="53"/>
        <v>25.99</v>
      </c>
      <c r="M869">
        <v>1539579600</v>
      </c>
      <c r="N869" s="9">
        <f t="shared" si="54"/>
        <v>43382.208333333328</v>
      </c>
      <c r="O869" s="9">
        <f t="shared" si="55"/>
        <v>43388.208333333328</v>
      </c>
      <c r="P869" t="b">
        <v>0</v>
      </c>
      <c r="Q869" t="b">
        <v>0</v>
      </c>
      <c r="R869" t="s">
        <v>17</v>
      </c>
      <c r="S869" s="5" t="str" cm="1">
        <f t="array" ref="S869:T869">_xlfn.TEXTSPLIT(R869, "/")</f>
        <v>food</v>
      </c>
      <c r="T869" s="5" t="str">
        <v>food trucks</v>
      </c>
    </row>
    <row r="870" spans="1:20" ht="19.5" x14ac:dyDescent="0.4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 s="4">
        <f t="shared" si="52"/>
        <v>184.84285714285716</v>
      </c>
      <c r="K870">
        <v>1381554000</v>
      </c>
      <c r="L870" s="5">
        <f t="shared" si="53"/>
        <v>102.69047619047619</v>
      </c>
      <c r="M870">
        <v>1382504400</v>
      </c>
      <c r="N870" s="9">
        <f t="shared" si="54"/>
        <v>41559.208333333336</v>
      </c>
      <c r="O870" s="9">
        <f t="shared" si="55"/>
        <v>41570.208333333336</v>
      </c>
      <c r="P870" t="b">
        <v>0</v>
      </c>
      <c r="Q870" t="b">
        <v>0</v>
      </c>
      <c r="R870" t="s">
        <v>33</v>
      </c>
      <c r="S870" s="5" t="str" cm="1">
        <f t="array" ref="S870:T870">_xlfn.TEXTSPLIT(R870, "/")</f>
        <v>theater</v>
      </c>
      <c r="T870" s="5" t="str">
        <v>plays</v>
      </c>
    </row>
    <row r="871" spans="1:20" ht="19.5" x14ac:dyDescent="0.4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 s="4">
        <f t="shared" si="52"/>
        <v>23.703520691785052</v>
      </c>
      <c r="K871">
        <v>1277096400</v>
      </c>
      <c r="L871" s="5">
        <f t="shared" si="53"/>
        <v>72.958174904942965</v>
      </c>
      <c r="M871">
        <v>1278306000</v>
      </c>
      <c r="N871" s="9">
        <f t="shared" si="54"/>
        <v>40350.208333333336</v>
      </c>
      <c r="O871" s="9">
        <f t="shared" si="55"/>
        <v>40364.208333333336</v>
      </c>
      <c r="P871" t="b">
        <v>0</v>
      </c>
      <c r="Q871" t="b">
        <v>0</v>
      </c>
      <c r="R871" t="s">
        <v>53</v>
      </c>
      <c r="S871" s="5" t="str" cm="1">
        <f t="array" ref="S871:T871">_xlfn.TEXTSPLIT(R871, "/")</f>
        <v>film &amp; video</v>
      </c>
      <c r="T871" s="5" t="str">
        <v>drama</v>
      </c>
    </row>
    <row r="872" spans="1:20" ht="19.5" x14ac:dyDescent="0.4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 s="4">
        <f t="shared" si="52"/>
        <v>89.870129870129873</v>
      </c>
      <c r="K872">
        <v>1440392400</v>
      </c>
      <c r="L872" s="5">
        <f t="shared" si="53"/>
        <v>57.190082644628099</v>
      </c>
      <c r="M872">
        <v>1442552400</v>
      </c>
      <c r="N872" s="9">
        <f t="shared" si="54"/>
        <v>42240.208333333328</v>
      </c>
      <c r="O872" s="9">
        <f t="shared" si="55"/>
        <v>42265.208333333328</v>
      </c>
      <c r="P872" t="b">
        <v>0</v>
      </c>
      <c r="Q872" t="b">
        <v>0</v>
      </c>
      <c r="R872" t="s">
        <v>33</v>
      </c>
      <c r="S872" s="5" t="str" cm="1">
        <f t="array" ref="S872:T872">_xlfn.TEXTSPLIT(R872, "/")</f>
        <v>theater</v>
      </c>
      <c r="T872" s="5" t="str">
        <v>plays</v>
      </c>
    </row>
    <row r="873" spans="1:20" ht="33.75" x14ac:dyDescent="0.4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 s="4">
        <f t="shared" si="52"/>
        <v>272.6041958041958</v>
      </c>
      <c r="K873">
        <v>1509512400</v>
      </c>
      <c r="L873" s="5">
        <f t="shared" si="53"/>
        <v>84.013793103448279</v>
      </c>
      <c r="M873">
        <v>1511071200</v>
      </c>
      <c r="N873" s="9">
        <f t="shared" si="54"/>
        <v>43040.208333333328</v>
      </c>
      <c r="O873" s="9">
        <f t="shared" si="55"/>
        <v>43058.25</v>
      </c>
      <c r="P873" t="b">
        <v>0</v>
      </c>
      <c r="Q873" t="b">
        <v>1</v>
      </c>
      <c r="R873" t="s">
        <v>33</v>
      </c>
      <c r="S873" s="5" t="str" cm="1">
        <f t="array" ref="S873:T873">_xlfn.TEXTSPLIT(R873, "/")</f>
        <v>theater</v>
      </c>
      <c r="T873" s="5" t="str">
        <v>plays</v>
      </c>
    </row>
    <row r="874" spans="1:20" ht="19.5" x14ac:dyDescent="0.4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 s="4">
        <f t="shared" si="52"/>
        <v>170.04255319148936</v>
      </c>
      <c r="K874">
        <v>1535950800</v>
      </c>
      <c r="L874" s="5">
        <f t="shared" si="53"/>
        <v>98.666666666666671</v>
      </c>
      <c r="M874">
        <v>1536382800</v>
      </c>
      <c r="N874" s="9">
        <f t="shared" si="54"/>
        <v>43346.208333333328</v>
      </c>
      <c r="O874" s="9">
        <f t="shared" si="55"/>
        <v>43351.208333333328</v>
      </c>
      <c r="P874" t="b">
        <v>0</v>
      </c>
      <c r="Q874" t="b">
        <v>0</v>
      </c>
      <c r="R874" t="s">
        <v>474</v>
      </c>
      <c r="S874" s="5" t="str" cm="1">
        <f t="array" ref="S874:T874">_xlfn.TEXTSPLIT(R874, "/")</f>
        <v>film &amp; video</v>
      </c>
      <c r="T874" s="5" t="str">
        <v>science fiction</v>
      </c>
    </row>
    <row r="875" spans="1:20" ht="19.5" x14ac:dyDescent="0.4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 s="4">
        <f t="shared" si="52"/>
        <v>188.28503562945369</v>
      </c>
      <c r="K875">
        <v>1389160800</v>
      </c>
      <c r="L875" s="5">
        <f t="shared" si="53"/>
        <v>42.007419183889773</v>
      </c>
      <c r="M875">
        <v>1389592800</v>
      </c>
      <c r="N875" s="9">
        <f t="shared" si="54"/>
        <v>41647.25</v>
      </c>
      <c r="O875" s="9">
        <f t="shared" si="55"/>
        <v>41652.25</v>
      </c>
      <c r="P875" t="b">
        <v>0</v>
      </c>
      <c r="Q875" t="b">
        <v>0</v>
      </c>
      <c r="R875" t="s">
        <v>122</v>
      </c>
      <c r="S875" s="5" t="str" cm="1">
        <f t="array" ref="S875:T875">_xlfn.TEXTSPLIT(R875, "/")</f>
        <v>photography</v>
      </c>
      <c r="T875" s="5" t="str">
        <v>photography books</v>
      </c>
    </row>
    <row r="876" spans="1:20" ht="19.5" x14ac:dyDescent="0.4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 s="4">
        <f t="shared" si="52"/>
        <v>346.93532338308455</v>
      </c>
      <c r="K876">
        <v>1271998800</v>
      </c>
      <c r="L876" s="5">
        <f t="shared" si="53"/>
        <v>32.002753556677376</v>
      </c>
      <c r="M876">
        <v>1275282000</v>
      </c>
      <c r="N876" s="9">
        <f t="shared" si="54"/>
        <v>40291.208333333336</v>
      </c>
      <c r="O876" s="9">
        <f t="shared" si="55"/>
        <v>40329.208333333336</v>
      </c>
      <c r="P876" t="b">
        <v>0</v>
      </c>
      <c r="Q876" t="b">
        <v>1</v>
      </c>
      <c r="R876" t="s">
        <v>122</v>
      </c>
      <c r="S876" s="5" t="str" cm="1">
        <f t="array" ref="S876:T876">_xlfn.TEXTSPLIT(R876, "/")</f>
        <v>photography</v>
      </c>
      <c r="T876" s="5" t="str">
        <v>photography books</v>
      </c>
    </row>
    <row r="877" spans="1:20" ht="19.5" x14ac:dyDescent="0.4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 s="4">
        <f t="shared" si="52"/>
        <v>69.177215189873422</v>
      </c>
      <c r="K877">
        <v>1294898400</v>
      </c>
      <c r="L877" s="5">
        <f t="shared" si="53"/>
        <v>81.567164179104481</v>
      </c>
      <c r="M877">
        <v>1294984800</v>
      </c>
      <c r="N877" s="9">
        <f t="shared" si="54"/>
        <v>40556.25</v>
      </c>
      <c r="O877" s="9">
        <f t="shared" si="55"/>
        <v>40557.25</v>
      </c>
      <c r="P877" t="b">
        <v>0</v>
      </c>
      <c r="Q877" t="b">
        <v>0</v>
      </c>
      <c r="R877" t="s">
        <v>23</v>
      </c>
      <c r="S877" s="5" t="str" cm="1">
        <f t="array" ref="S877:T877">_xlfn.TEXTSPLIT(R877, "/")</f>
        <v>music</v>
      </c>
      <c r="T877" s="5" t="str">
        <v>rock</v>
      </c>
    </row>
    <row r="878" spans="1:20" ht="33.75" x14ac:dyDescent="0.4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 s="4">
        <f t="shared" si="52"/>
        <v>25.433734939759034</v>
      </c>
      <c r="K878">
        <v>1559970000</v>
      </c>
      <c r="L878" s="5">
        <f t="shared" si="53"/>
        <v>37.035087719298247</v>
      </c>
      <c r="M878">
        <v>1562043600</v>
      </c>
      <c r="N878" s="9">
        <f t="shared" si="54"/>
        <v>43624.208333333328</v>
      </c>
      <c r="O878" s="9">
        <f t="shared" si="55"/>
        <v>43648.208333333328</v>
      </c>
      <c r="P878" t="b">
        <v>0</v>
      </c>
      <c r="Q878" t="b">
        <v>0</v>
      </c>
      <c r="R878" t="s">
        <v>122</v>
      </c>
      <c r="S878" s="5" t="str" cm="1">
        <f t="array" ref="S878:T878">_xlfn.TEXTSPLIT(R878, "/")</f>
        <v>photography</v>
      </c>
      <c r="T878" s="5" t="str">
        <v>photography books</v>
      </c>
    </row>
    <row r="879" spans="1:20" ht="19.5" x14ac:dyDescent="0.4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 s="4">
        <f t="shared" si="52"/>
        <v>77.400977995110026</v>
      </c>
      <c r="K879">
        <v>1469509200</v>
      </c>
      <c r="L879" s="5">
        <f t="shared" si="53"/>
        <v>103.033360455655</v>
      </c>
      <c r="M879">
        <v>1469595600</v>
      </c>
      <c r="N879" s="9">
        <f t="shared" si="54"/>
        <v>42577.208333333328</v>
      </c>
      <c r="O879" s="9">
        <f t="shared" si="55"/>
        <v>42578.208333333328</v>
      </c>
      <c r="P879" t="b">
        <v>0</v>
      </c>
      <c r="Q879" t="b">
        <v>0</v>
      </c>
      <c r="R879" t="s">
        <v>17</v>
      </c>
      <c r="S879" s="5" t="str" cm="1">
        <f t="array" ref="S879:T879">_xlfn.TEXTSPLIT(R879, "/")</f>
        <v>food</v>
      </c>
      <c r="T879" s="5" t="str">
        <v>food trucks</v>
      </c>
    </row>
    <row r="880" spans="1:20" ht="19.5" x14ac:dyDescent="0.4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 s="4">
        <f t="shared" si="52"/>
        <v>37.481481481481481</v>
      </c>
      <c r="K880">
        <v>1579068000</v>
      </c>
      <c r="L880" s="5">
        <f t="shared" si="53"/>
        <v>84.333333333333329</v>
      </c>
      <c r="M880">
        <v>1581141600</v>
      </c>
      <c r="N880" s="9">
        <f t="shared" si="54"/>
        <v>43845.25</v>
      </c>
      <c r="O880" s="9">
        <f t="shared" si="55"/>
        <v>43869.25</v>
      </c>
      <c r="P880" t="b">
        <v>0</v>
      </c>
      <c r="Q880" t="b">
        <v>0</v>
      </c>
      <c r="R880" t="s">
        <v>148</v>
      </c>
      <c r="S880" s="5" t="str" cm="1">
        <f t="array" ref="S880:T880">_xlfn.TEXTSPLIT(R880, "/")</f>
        <v>music</v>
      </c>
      <c r="T880" s="5" t="str">
        <v>metal</v>
      </c>
    </row>
    <row r="881" spans="1:20" ht="19.5" x14ac:dyDescent="0.4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 s="4">
        <f t="shared" si="52"/>
        <v>543.79999999999995</v>
      </c>
      <c r="K881">
        <v>1487743200</v>
      </c>
      <c r="L881" s="5">
        <f t="shared" si="53"/>
        <v>102.60377358490567</v>
      </c>
      <c r="M881">
        <v>1488520800</v>
      </c>
      <c r="N881" s="9">
        <f t="shared" si="54"/>
        <v>42788.25</v>
      </c>
      <c r="O881" s="9">
        <f t="shared" si="55"/>
        <v>42797.25</v>
      </c>
      <c r="P881" t="b">
        <v>0</v>
      </c>
      <c r="Q881" t="b">
        <v>0</v>
      </c>
      <c r="R881" t="s">
        <v>68</v>
      </c>
      <c r="S881" s="5" t="str" cm="1">
        <f t="array" ref="S881:T881">_xlfn.TEXTSPLIT(R881, "/")</f>
        <v>publishing</v>
      </c>
      <c r="T881" s="5" t="str">
        <v>nonfiction</v>
      </c>
    </row>
    <row r="882" spans="1:20" ht="19.5" x14ac:dyDescent="0.4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 s="4">
        <f t="shared" si="52"/>
        <v>228.52189349112427</v>
      </c>
      <c r="K882">
        <v>1563685200</v>
      </c>
      <c r="L882" s="5">
        <f t="shared" si="53"/>
        <v>79.992129246064621</v>
      </c>
      <c r="M882">
        <v>1563858000</v>
      </c>
      <c r="N882" s="9">
        <f t="shared" si="54"/>
        <v>43667.208333333328</v>
      </c>
      <c r="O882" s="9">
        <f t="shared" si="55"/>
        <v>43669.208333333328</v>
      </c>
      <c r="P882" t="b">
        <v>0</v>
      </c>
      <c r="Q882" t="b">
        <v>0</v>
      </c>
      <c r="R882" t="s">
        <v>50</v>
      </c>
      <c r="S882" s="5" t="str" cm="1">
        <f t="array" ref="S882:T882">_xlfn.TEXTSPLIT(R882, "/")</f>
        <v>music</v>
      </c>
      <c r="T882" s="5" t="str">
        <v>electric music</v>
      </c>
    </row>
    <row r="883" spans="1:20" ht="19.5" x14ac:dyDescent="0.4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 s="4">
        <f t="shared" si="52"/>
        <v>38.948339483394832</v>
      </c>
      <c r="K883">
        <v>1436418000</v>
      </c>
      <c r="L883" s="5">
        <f t="shared" si="53"/>
        <v>70.055309734513273</v>
      </c>
      <c r="M883">
        <v>1438923600</v>
      </c>
      <c r="N883" s="9">
        <f t="shared" si="54"/>
        <v>42194.208333333328</v>
      </c>
      <c r="O883" s="9">
        <f t="shared" si="55"/>
        <v>42223.208333333328</v>
      </c>
      <c r="P883" t="b">
        <v>0</v>
      </c>
      <c r="Q883" t="b">
        <v>1</v>
      </c>
      <c r="R883" t="s">
        <v>33</v>
      </c>
      <c r="S883" s="5" t="str" cm="1">
        <f t="array" ref="S883:T883">_xlfn.TEXTSPLIT(R883, "/")</f>
        <v>theater</v>
      </c>
      <c r="T883" s="5" t="str">
        <v>plays</v>
      </c>
    </row>
    <row r="884" spans="1:20" ht="19.5" x14ac:dyDescent="0.4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 s="4">
        <f t="shared" si="52"/>
        <v>370</v>
      </c>
      <c r="K884">
        <v>1421820000</v>
      </c>
      <c r="L884" s="5">
        <f t="shared" si="53"/>
        <v>37</v>
      </c>
      <c r="M884">
        <v>1422165600</v>
      </c>
      <c r="N884" s="9">
        <f t="shared" si="54"/>
        <v>42025.25</v>
      </c>
      <c r="O884" s="9">
        <f t="shared" si="55"/>
        <v>42029.25</v>
      </c>
      <c r="P884" t="b">
        <v>0</v>
      </c>
      <c r="Q884" t="b">
        <v>0</v>
      </c>
      <c r="R884" t="s">
        <v>33</v>
      </c>
      <c r="S884" s="5" t="str" cm="1">
        <f t="array" ref="S884:T884">_xlfn.TEXTSPLIT(R884, "/")</f>
        <v>theater</v>
      </c>
      <c r="T884" s="5" t="str">
        <v>plays</v>
      </c>
    </row>
    <row r="885" spans="1:20" ht="33.75" x14ac:dyDescent="0.4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 s="4">
        <f t="shared" si="52"/>
        <v>237.91176470588232</v>
      </c>
      <c r="K885">
        <v>1274763600</v>
      </c>
      <c r="L885" s="5">
        <f t="shared" si="53"/>
        <v>41.911917098445599</v>
      </c>
      <c r="M885">
        <v>1277874000</v>
      </c>
      <c r="N885" s="9">
        <f t="shared" si="54"/>
        <v>40323.208333333336</v>
      </c>
      <c r="O885" s="9">
        <f t="shared" si="55"/>
        <v>40359.208333333336</v>
      </c>
      <c r="P885" t="b">
        <v>0</v>
      </c>
      <c r="Q885" t="b">
        <v>0</v>
      </c>
      <c r="R885" t="s">
        <v>100</v>
      </c>
      <c r="S885" s="5" t="str" cm="1">
        <f t="array" ref="S885:T885">_xlfn.TEXTSPLIT(R885, "/")</f>
        <v>film &amp; video</v>
      </c>
      <c r="T885" s="5" t="str">
        <v>shorts</v>
      </c>
    </row>
    <row r="886" spans="1:20" ht="19.5" x14ac:dyDescent="0.4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 s="4">
        <f t="shared" si="52"/>
        <v>64.036299765807954</v>
      </c>
      <c r="K886">
        <v>1399179600</v>
      </c>
      <c r="L886" s="5">
        <f t="shared" si="53"/>
        <v>57.992576882290564</v>
      </c>
      <c r="M886">
        <v>1399352400</v>
      </c>
      <c r="N886" s="9">
        <f t="shared" si="54"/>
        <v>41763.208333333336</v>
      </c>
      <c r="O886" s="9">
        <f t="shared" si="55"/>
        <v>41765.208333333336</v>
      </c>
      <c r="P886" t="b">
        <v>0</v>
      </c>
      <c r="Q886" t="b">
        <v>1</v>
      </c>
      <c r="R886" t="s">
        <v>33</v>
      </c>
      <c r="S886" s="5" t="str" cm="1">
        <f t="array" ref="S886:T886">_xlfn.TEXTSPLIT(R886, "/")</f>
        <v>theater</v>
      </c>
      <c r="T886" s="5" t="str">
        <v>plays</v>
      </c>
    </row>
    <row r="887" spans="1:20" ht="19.5" x14ac:dyDescent="0.4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 s="4">
        <f t="shared" si="52"/>
        <v>118.27777777777777</v>
      </c>
      <c r="K887">
        <v>1275800400</v>
      </c>
      <c r="L887" s="5">
        <f t="shared" si="53"/>
        <v>40.942307692307693</v>
      </c>
      <c r="M887">
        <v>1279083600</v>
      </c>
      <c r="N887" s="9">
        <f t="shared" si="54"/>
        <v>40335.208333333336</v>
      </c>
      <c r="O887" s="9">
        <f t="shared" si="55"/>
        <v>40373.208333333336</v>
      </c>
      <c r="P887" t="b">
        <v>0</v>
      </c>
      <c r="Q887" t="b">
        <v>0</v>
      </c>
      <c r="R887" t="s">
        <v>33</v>
      </c>
      <c r="S887" s="5" t="str" cm="1">
        <f t="array" ref="S887:T887">_xlfn.TEXTSPLIT(R887, "/")</f>
        <v>theater</v>
      </c>
      <c r="T887" s="5" t="str">
        <v>plays</v>
      </c>
    </row>
    <row r="888" spans="1:20" ht="19.5" x14ac:dyDescent="0.4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 s="4">
        <f t="shared" si="52"/>
        <v>84.824037184594957</v>
      </c>
      <c r="K888">
        <v>1282798800</v>
      </c>
      <c r="L888" s="5">
        <f t="shared" si="53"/>
        <v>69.9972602739726</v>
      </c>
      <c r="M888">
        <v>1284354000</v>
      </c>
      <c r="N888" s="9">
        <f t="shared" si="54"/>
        <v>40416.208333333336</v>
      </c>
      <c r="O888" s="9">
        <f t="shared" si="55"/>
        <v>40434.208333333336</v>
      </c>
      <c r="P888" t="b">
        <v>0</v>
      </c>
      <c r="Q888" t="b">
        <v>0</v>
      </c>
      <c r="R888" t="s">
        <v>60</v>
      </c>
      <c r="S888" s="5" t="str" cm="1">
        <f t="array" ref="S888:T888">_xlfn.TEXTSPLIT(R888, "/")</f>
        <v>music</v>
      </c>
      <c r="T888" s="5" t="str">
        <v>indie rock</v>
      </c>
    </row>
    <row r="889" spans="1:20" ht="33.75" x14ac:dyDescent="0.4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 s="4">
        <f t="shared" si="52"/>
        <v>29.346153846153843</v>
      </c>
      <c r="K889">
        <v>1437109200</v>
      </c>
      <c r="L889" s="5">
        <f t="shared" si="53"/>
        <v>73.838709677419359</v>
      </c>
      <c r="M889">
        <v>1441170000</v>
      </c>
      <c r="N889" s="9">
        <f t="shared" si="54"/>
        <v>42202.208333333328</v>
      </c>
      <c r="O889" s="9">
        <f t="shared" si="55"/>
        <v>42249.208333333328</v>
      </c>
      <c r="P889" t="b">
        <v>0</v>
      </c>
      <c r="Q889" t="b">
        <v>1</v>
      </c>
      <c r="R889" t="s">
        <v>33</v>
      </c>
      <c r="S889" s="5" t="str" cm="1">
        <f t="array" ref="S889:T889">_xlfn.TEXTSPLIT(R889, "/")</f>
        <v>theater</v>
      </c>
      <c r="T889" s="5" t="str">
        <v>plays</v>
      </c>
    </row>
    <row r="890" spans="1:20" ht="33.75" x14ac:dyDescent="0.4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 s="4">
        <f t="shared" si="52"/>
        <v>209.89655172413794</v>
      </c>
      <c r="K890">
        <v>1491886800</v>
      </c>
      <c r="L890" s="5">
        <f t="shared" si="53"/>
        <v>41.979310344827589</v>
      </c>
      <c r="M890">
        <v>1493528400</v>
      </c>
      <c r="N890" s="9">
        <f t="shared" si="54"/>
        <v>42836.208333333328</v>
      </c>
      <c r="O890" s="9">
        <f t="shared" si="55"/>
        <v>42855.208333333328</v>
      </c>
      <c r="P890" t="b">
        <v>0</v>
      </c>
      <c r="Q890" t="b">
        <v>0</v>
      </c>
      <c r="R890" t="s">
        <v>33</v>
      </c>
      <c r="S890" s="5" t="str" cm="1">
        <f t="array" ref="S890:T890">_xlfn.TEXTSPLIT(R890, "/")</f>
        <v>theater</v>
      </c>
      <c r="T890" s="5" t="str">
        <v>plays</v>
      </c>
    </row>
    <row r="891" spans="1:20" ht="19.5" x14ac:dyDescent="0.4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 s="4">
        <f t="shared" si="52"/>
        <v>169.78571428571431</v>
      </c>
      <c r="K891">
        <v>1394600400</v>
      </c>
      <c r="L891" s="5">
        <f t="shared" si="53"/>
        <v>77.93442622950819</v>
      </c>
      <c r="M891">
        <v>1395205200</v>
      </c>
      <c r="N891" s="9">
        <f t="shared" si="54"/>
        <v>41710.208333333336</v>
      </c>
      <c r="O891" s="9">
        <f t="shared" si="55"/>
        <v>41717.208333333336</v>
      </c>
      <c r="P891" t="b">
        <v>0</v>
      </c>
      <c r="Q891" t="b">
        <v>1</v>
      </c>
      <c r="R891" t="s">
        <v>50</v>
      </c>
      <c r="S891" s="5" t="str" cm="1">
        <f t="array" ref="S891:T891">_xlfn.TEXTSPLIT(R891, "/")</f>
        <v>music</v>
      </c>
      <c r="T891" s="5" t="str">
        <v>electric music</v>
      </c>
    </row>
    <row r="892" spans="1:20" ht="19.5" x14ac:dyDescent="0.4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 s="4">
        <f t="shared" si="52"/>
        <v>115.95907738095239</v>
      </c>
      <c r="K892">
        <v>1561352400</v>
      </c>
      <c r="L892" s="5">
        <f t="shared" si="53"/>
        <v>106.01972789115646</v>
      </c>
      <c r="M892">
        <v>1561438800</v>
      </c>
      <c r="N892" s="9">
        <f t="shared" si="54"/>
        <v>43640.208333333328</v>
      </c>
      <c r="O892" s="9">
        <f t="shared" si="55"/>
        <v>43641.208333333328</v>
      </c>
      <c r="P892" t="b">
        <v>0</v>
      </c>
      <c r="Q892" t="b">
        <v>0</v>
      </c>
      <c r="R892" t="s">
        <v>60</v>
      </c>
      <c r="S892" s="5" t="str" cm="1">
        <f t="array" ref="S892:T892">_xlfn.TEXTSPLIT(R892, "/")</f>
        <v>music</v>
      </c>
      <c r="T892" s="5" t="str">
        <v>indie rock</v>
      </c>
    </row>
    <row r="893" spans="1:20" ht="33.75" x14ac:dyDescent="0.4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 s="4">
        <f t="shared" si="52"/>
        <v>258.59999999999997</v>
      </c>
      <c r="K893">
        <v>1322892000</v>
      </c>
      <c r="L893" s="5">
        <f t="shared" si="53"/>
        <v>47.018181818181816</v>
      </c>
      <c r="M893">
        <v>1326693600</v>
      </c>
      <c r="N893" s="9">
        <f t="shared" si="54"/>
        <v>40880.25</v>
      </c>
      <c r="O893" s="9">
        <f t="shared" si="55"/>
        <v>40924.25</v>
      </c>
      <c r="P893" t="b">
        <v>0</v>
      </c>
      <c r="Q893" t="b">
        <v>0</v>
      </c>
      <c r="R893" t="s">
        <v>42</v>
      </c>
      <c r="S893" s="5" t="str" cm="1">
        <f t="array" ref="S893:T893">_xlfn.TEXTSPLIT(R893, "/")</f>
        <v>film &amp; video</v>
      </c>
      <c r="T893" s="5" t="str">
        <v>documentary</v>
      </c>
    </row>
    <row r="894" spans="1:20" ht="19.5" x14ac:dyDescent="0.4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 s="4">
        <f t="shared" si="52"/>
        <v>230.58333333333331</v>
      </c>
      <c r="K894">
        <v>1274418000</v>
      </c>
      <c r="L894" s="5">
        <f t="shared" si="53"/>
        <v>76.016483516483518</v>
      </c>
      <c r="M894">
        <v>1277960400</v>
      </c>
      <c r="N894" s="9">
        <f t="shared" si="54"/>
        <v>40319.208333333336</v>
      </c>
      <c r="O894" s="9">
        <f t="shared" si="55"/>
        <v>40360.208333333336</v>
      </c>
      <c r="P894" t="b">
        <v>0</v>
      </c>
      <c r="Q894" t="b">
        <v>0</v>
      </c>
      <c r="R894" t="s">
        <v>206</v>
      </c>
      <c r="S894" s="5" t="str" cm="1">
        <f t="array" ref="S894:T894">_xlfn.TEXTSPLIT(R894, "/")</f>
        <v>publishing</v>
      </c>
      <c r="T894" s="5" t="str">
        <v>translations</v>
      </c>
    </row>
    <row r="895" spans="1:20" ht="19.5" x14ac:dyDescent="0.4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 s="4">
        <f t="shared" si="52"/>
        <v>128.21428571428572</v>
      </c>
      <c r="K895">
        <v>1434344400</v>
      </c>
      <c r="L895" s="5">
        <f t="shared" si="53"/>
        <v>54.120603015075375</v>
      </c>
      <c r="M895">
        <v>1434690000</v>
      </c>
      <c r="N895" s="9">
        <f t="shared" si="54"/>
        <v>42170.208333333328</v>
      </c>
      <c r="O895" s="9">
        <f t="shared" si="55"/>
        <v>42174.208333333328</v>
      </c>
      <c r="P895" t="b">
        <v>0</v>
      </c>
      <c r="Q895" t="b">
        <v>1</v>
      </c>
      <c r="R895" t="s">
        <v>42</v>
      </c>
      <c r="S895" s="5" t="str" cm="1">
        <f t="array" ref="S895:T895">_xlfn.TEXTSPLIT(R895, "/")</f>
        <v>film &amp; video</v>
      </c>
      <c r="T895" s="5" t="str">
        <v>documentary</v>
      </c>
    </row>
    <row r="896" spans="1:20" ht="19.5" x14ac:dyDescent="0.4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 s="4">
        <f t="shared" si="52"/>
        <v>188.70588235294116</v>
      </c>
      <c r="K896">
        <v>1373518800</v>
      </c>
      <c r="L896" s="5">
        <f t="shared" si="53"/>
        <v>57.285714285714285</v>
      </c>
      <c r="M896">
        <v>1376110800</v>
      </c>
      <c r="N896" s="9">
        <f t="shared" si="54"/>
        <v>41466.208333333336</v>
      </c>
      <c r="O896" s="9">
        <f t="shared" si="55"/>
        <v>41496.208333333336</v>
      </c>
      <c r="P896" t="b">
        <v>0</v>
      </c>
      <c r="Q896" t="b">
        <v>1</v>
      </c>
      <c r="R896" t="s">
        <v>269</v>
      </c>
      <c r="S896" s="5" t="str" cm="1">
        <f t="array" ref="S896:T896">_xlfn.TEXTSPLIT(R896, "/")</f>
        <v>film &amp; video</v>
      </c>
      <c r="T896" s="5" t="str">
        <v>television</v>
      </c>
    </row>
    <row r="897" spans="1:20" ht="33.75" x14ac:dyDescent="0.4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 s="4">
        <f t="shared" si="52"/>
        <v>6.9511889862327907</v>
      </c>
      <c r="K897">
        <v>1517637600</v>
      </c>
      <c r="L897" s="5">
        <f t="shared" si="53"/>
        <v>103.81308411214954</v>
      </c>
      <c r="M897">
        <v>1518415200</v>
      </c>
      <c r="N897" s="9">
        <f t="shared" si="54"/>
        <v>43134.25</v>
      </c>
      <c r="O897" s="9">
        <f t="shared" si="55"/>
        <v>43143.25</v>
      </c>
      <c r="P897" t="b">
        <v>0</v>
      </c>
      <c r="Q897" t="b">
        <v>0</v>
      </c>
      <c r="R897" t="s">
        <v>33</v>
      </c>
      <c r="S897" s="5" t="str" cm="1">
        <f t="array" ref="S897:T897">_xlfn.TEXTSPLIT(R897, "/")</f>
        <v>theater</v>
      </c>
      <c r="T897" s="5" t="str">
        <v>plays</v>
      </c>
    </row>
    <row r="898" spans="1:20" ht="33.75" x14ac:dyDescent="0.4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 s="4">
        <f t="shared" si="52"/>
        <v>774.43434343434342</v>
      </c>
      <c r="K898">
        <v>1310619600</v>
      </c>
      <c r="L898" s="5">
        <f t="shared" si="53"/>
        <v>105.02602739726028</v>
      </c>
      <c r="M898">
        <v>1310878800</v>
      </c>
      <c r="N898" s="9">
        <f t="shared" si="54"/>
        <v>40738.208333333336</v>
      </c>
      <c r="O898" s="9">
        <f t="shared" si="55"/>
        <v>40741.208333333336</v>
      </c>
      <c r="P898" t="b">
        <v>0</v>
      </c>
      <c r="Q898" t="b">
        <v>1</v>
      </c>
      <c r="R898" t="s">
        <v>17</v>
      </c>
      <c r="S898" s="5" t="str" cm="1">
        <f t="array" ref="S898:T898">_xlfn.TEXTSPLIT(R898, "/")</f>
        <v>food</v>
      </c>
      <c r="T898" s="5" t="str">
        <v>food trucks</v>
      </c>
    </row>
    <row r="899" spans="1:20" ht="19.5" x14ac:dyDescent="0.4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 s="4">
        <f t="shared" ref="J899:J962" si="56">(E899/D899*100)</f>
        <v>27.693181818181817</v>
      </c>
      <c r="K899">
        <v>1556427600</v>
      </c>
      <c r="L899" s="5">
        <f t="shared" ref="L899:L962" si="57">E899/G899</f>
        <v>90.259259259259252</v>
      </c>
      <c r="M899">
        <v>1556600400</v>
      </c>
      <c r="N899" s="9">
        <f t="shared" ref="N899:N962" si="58">(((K899/60)/60)/24)+DATE(1970,1,1)</f>
        <v>43583.208333333328</v>
      </c>
      <c r="O899" s="9">
        <f t="shared" ref="O899:O962" si="59">(((M899/60)/60)/24)+DATE(1970,1,1)</f>
        <v>43585.208333333328</v>
      </c>
      <c r="P899" t="b">
        <v>0</v>
      </c>
      <c r="Q899" t="b">
        <v>0</v>
      </c>
      <c r="R899" t="s">
        <v>33</v>
      </c>
      <c r="S899" s="5" t="str" cm="1">
        <f t="array" ref="S899:T899">_xlfn.TEXTSPLIT(R899, "/")</f>
        <v>theater</v>
      </c>
      <c r="T899" s="5" t="str">
        <v>plays</v>
      </c>
    </row>
    <row r="900" spans="1:20" ht="19.5" x14ac:dyDescent="0.4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 s="4">
        <f t="shared" si="56"/>
        <v>52.479620323841424</v>
      </c>
      <c r="K900">
        <v>1576476000</v>
      </c>
      <c r="L900" s="5">
        <f t="shared" si="57"/>
        <v>76.978705978705975</v>
      </c>
      <c r="M900">
        <v>1576994400</v>
      </c>
      <c r="N900" s="9">
        <f t="shared" si="58"/>
        <v>43815.25</v>
      </c>
      <c r="O900" s="9">
        <f t="shared" si="59"/>
        <v>43821.25</v>
      </c>
      <c r="P900" t="b">
        <v>0</v>
      </c>
      <c r="Q900" t="b">
        <v>0</v>
      </c>
      <c r="R900" t="s">
        <v>42</v>
      </c>
      <c r="S900" s="5" t="str" cm="1">
        <f t="array" ref="S900:T900">_xlfn.TEXTSPLIT(R900, "/")</f>
        <v>film &amp; video</v>
      </c>
      <c r="T900" s="5" t="str">
        <v>documentary</v>
      </c>
    </row>
    <row r="901" spans="1:20" ht="19.5" x14ac:dyDescent="0.4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 s="4">
        <f t="shared" si="56"/>
        <v>407.09677419354841</v>
      </c>
      <c r="K901">
        <v>1381122000</v>
      </c>
      <c r="L901" s="5">
        <f t="shared" si="57"/>
        <v>102.60162601626017</v>
      </c>
      <c r="M901">
        <v>1382677200</v>
      </c>
      <c r="N901" s="9">
        <f t="shared" si="58"/>
        <v>41554.208333333336</v>
      </c>
      <c r="O901" s="9">
        <f t="shared" si="59"/>
        <v>41572.208333333336</v>
      </c>
      <c r="P901" t="b">
        <v>0</v>
      </c>
      <c r="Q901" t="b">
        <v>0</v>
      </c>
      <c r="R901" t="s">
        <v>159</v>
      </c>
      <c r="S901" s="5" t="str" cm="1">
        <f t="array" ref="S901:T901">_xlfn.TEXTSPLIT(R901, "/")</f>
        <v>music</v>
      </c>
      <c r="T901" s="5" t="str">
        <v>jazz</v>
      </c>
    </row>
    <row r="902" spans="1:20" ht="19.5" x14ac:dyDescent="0.4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 s="4">
        <f t="shared" si="56"/>
        <v>2</v>
      </c>
      <c r="K902">
        <v>1411102800</v>
      </c>
      <c r="L902" s="5">
        <f t="shared" si="57"/>
        <v>2</v>
      </c>
      <c r="M902">
        <v>1411189200</v>
      </c>
      <c r="N902" s="9">
        <f t="shared" si="58"/>
        <v>41901.208333333336</v>
      </c>
      <c r="O902" s="9">
        <f t="shared" si="59"/>
        <v>41902.208333333336</v>
      </c>
      <c r="P902" t="b">
        <v>0</v>
      </c>
      <c r="Q902" t="b">
        <v>1</v>
      </c>
      <c r="R902" t="s">
        <v>28</v>
      </c>
      <c r="S902" s="5" t="str" cm="1">
        <f t="array" ref="S902:T902">_xlfn.TEXTSPLIT(R902, "/")</f>
        <v>technology</v>
      </c>
      <c r="T902" s="5" t="str">
        <v>web</v>
      </c>
    </row>
    <row r="903" spans="1:20" ht="19.5" x14ac:dyDescent="0.4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 s="4">
        <f t="shared" si="56"/>
        <v>156.17857142857144</v>
      </c>
      <c r="K903">
        <v>1531803600</v>
      </c>
      <c r="L903" s="5">
        <f t="shared" si="57"/>
        <v>55.0062893081761</v>
      </c>
      <c r="M903">
        <v>1534654800</v>
      </c>
      <c r="N903" s="9">
        <f t="shared" si="58"/>
        <v>43298.208333333328</v>
      </c>
      <c r="O903" s="9">
        <f t="shared" si="59"/>
        <v>43331.208333333328</v>
      </c>
      <c r="P903" t="b">
        <v>0</v>
      </c>
      <c r="Q903" t="b">
        <v>1</v>
      </c>
      <c r="R903" t="s">
        <v>23</v>
      </c>
      <c r="S903" s="5" t="str" cm="1">
        <f t="array" ref="S903:T903">_xlfn.TEXTSPLIT(R903, "/")</f>
        <v>music</v>
      </c>
      <c r="T903" s="5" t="str">
        <v>rock</v>
      </c>
    </row>
    <row r="904" spans="1:20" ht="19.5" x14ac:dyDescent="0.4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 s="4">
        <f t="shared" si="56"/>
        <v>252.42857142857144</v>
      </c>
      <c r="K904">
        <v>1454133600</v>
      </c>
      <c r="L904" s="5">
        <f t="shared" si="57"/>
        <v>32.127272727272725</v>
      </c>
      <c r="M904">
        <v>1457762400</v>
      </c>
      <c r="N904" s="9">
        <f t="shared" si="58"/>
        <v>42399.25</v>
      </c>
      <c r="O904" s="9">
        <f t="shared" si="59"/>
        <v>42441.25</v>
      </c>
      <c r="P904" t="b">
        <v>0</v>
      </c>
      <c r="Q904" t="b">
        <v>0</v>
      </c>
      <c r="R904" t="s">
        <v>28</v>
      </c>
      <c r="S904" s="5" t="str" cm="1">
        <f t="array" ref="S904:T904">_xlfn.TEXTSPLIT(R904, "/")</f>
        <v>technology</v>
      </c>
      <c r="T904" s="5" t="str">
        <v>web</v>
      </c>
    </row>
    <row r="905" spans="1:20" ht="33.75" x14ac:dyDescent="0.4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 s="4">
        <f t="shared" si="56"/>
        <v>1.729268292682927</v>
      </c>
      <c r="K905">
        <v>1336194000</v>
      </c>
      <c r="L905" s="5">
        <f t="shared" si="57"/>
        <v>50.642857142857146</v>
      </c>
      <c r="M905">
        <v>1337490000</v>
      </c>
      <c r="N905" s="9">
        <f t="shared" si="58"/>
        <v>41034.208333333336</v>
      </c>
      <c r="O905" s="9">
        <f t="shared" si="59"/>
        <v>41049.208333333336</v>
      </c>
      <c r="P905" t="b">
        <v>0</v>
      </c>
      <c r="Q905" t="b">
        <v>1</v>
      </c>
      <c r="R905" t="s">
        <v>68</v>
      </c>
      <c r="S905" s="5" t="str" cm="1">
        <f t="array" ref="S905:T905">_xlfn.TEXTSPLIT(R905, "/")</f>
        <v>publishing</v>
      </c>
      <c r="T905" s="5" t="str">
        <v>nonfiction</v>
      </c>
    </row>
    <row r="906" spans="1:20" ht="19.5" x14ac:dyDescent="0.4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 s="4">
        <f t="shared" si="56"/>
        <v>12.230769230769232</v>
      </c>
      <c r="K906">
        <v>1349326800</v>
      </c>
      <c r="L906" s="5">
        <f t="shared" si="57"/>
        <v>49.6875</v>
      </c>
      <c r="M906">
        <v>1349672400</v>
      </c>
      <c r="N906" s="9">
        <f t="shared" si="58"/>
        <v>41186.208333333336</v>
      </c>
      <c r="O906" s="9">
        <f t="shared" si="59"/>
        <v>41190.208333333336</v>
      </c>
      <c r="P906" t="b">
        <v>0</v>
      </c>
      <c r="Q906" t="b">
        <v>0</v>
      </c>
      <c r="R906" t="s">
        <v>133</v>
      </c>
      <c r="S906" s="5" t="str" cm="1">
        <f t="array" ref="S906:T906">_xlfn.TEXTSPLIT(R906, "/")</f>
        <v>publishing</v>
      </c>
      <c r="T906" s="5" t="str">
        <v>radio &amp; podcasts</v>
      </c>
    </row>
    <row r="907" spans="1:20" ht="19.5" x14ac:dyDescent="0.4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 s="4">
        <f t="shared" si="56"/>
        <v>163.98734177215189</v>
      </c>
      <c r="K907">
        <v>1379566800</v>
      </c>
      <c r="L907" s="5">
        <f t="shared" si="57"/>
        <v>54.894067796610166</v>
      </c>
      <c r="M907">
        <v>1379826000</v>
      </c>
      <c r="N907" s="9">
        <f t="shared" si="58"/>
        <v>41536.208333333336</v>
      </c>
      <c r="O907" s="9">
        <f t="shared" si="59"/>
        <v>41539.208333333336</v>
      </c>
      <c r="P907" t="b">
        <v>0</v>
      </c>
      <c r="Q907" t="b">
        <v>0</v>
      </c>
      <c r="R907" t="s">
        <v>33</v>
      </c>
      <c r="S907" s="5" t="str" cm="1">
        <f t="array" ref="S907:T907">_xlfn.TEXTSPLIT(R907, "/")</f>
        <v>theater</v>
      </c>
      <c r="T907" s="5" t="str">
        <v>plays</v>
      </c>
    </row>
    <row r="908" spans="1:20" ht="33.75" x14ac:dyDescent="0.4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 s="4">
        <f t="shared" si="56"/>
        <v>162.98181818181817</v>
      </c>
      <c r="K908">
        <v>1494651600</v>
      </c>
      <c r="L908" s="5">
        <f t="shared" si="57"/>
        <v>46.931937172774866</v>
      </c>
      <c r="M908">
        <v>1497762000</v>
      </c>
      <c r="N908" s="9">
        <f t="shared" si="58"/>
        <v>42868.208333333328</v>
      </c>
      <c r="O908" s="9">
        <f t="shared" si="59"/>
        <v>42904.208333333328</v>
      </c>
      <c r="P908" t="b">
        <v>1</v>
      </c>
      <c r="Q908" t="b">
        <v>1</v>
      </c>
      <c r="R908" t="s">
        <v>42</v>
      </c>
      <c r="S908" s="5" t="str" cm="1">
        <f t="array" ref="S908:T908">_xlfn.TEXTSPLIT(R908, "/")</f>
        <v>film &amp; video</v>
      </c>
      <c r="T908" s="5" t="str">
        <v>documentary</v>
      </c>
    </row>
    <row r="909" spans="1:20" ht="19.5" x14ac:dyDescent="0.4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 s="4">
        <f t="shared" si="56"/>
        <v>20.252747252747252</v>
      </c>
      <c r="K909">
        <v>1303880400</v>
      </c>
      <c r="L909" s="5">
        <f t="shared" si="57"/>
        <v>44.951219512195124</v>
      </c>
      <c r="M909">
        <v>1304485200</v>
      </c>
      <c r="N909" s="9">
        <f t="shared" si="58"/>
        <v>40660.208333333336</v>
      </c>
      <c r="O909" s="9">
        <f t="shared" si="59"/>
        <v>40667.208333333336</v>
      </c>
      <c r="P909" t="b">
        <v>0</v>
      </c>
      <c r="Q909" t="b">
        <v>0</v>
      </c>
      <c r="R909" t="s">
        <v>33</v>
      </c>
      <c r="S909" s="5" t="str" cm="1">
        <f t="array" ref="S909:T909">_xlfn.TEXTSPLIT(R909, "/")</f>
        <v>theater</v>
      </c>
      <c r="T909" s="5" t="str">
        <v>plays</v>
      </c>
    </row>
    <row r="910" spans="1:20" ht="19.5" x14ac:dyDescent="0.4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 s="4">
        <f t="shared" si="56"/>
        <v>319.24083769633506</v>
      </c>
      <c r="K910">
        <v>1335934800</v>
      </c>
      <c r="L910" s="5">
        <f t="shared" si="57"/>
        <v>30.99898322318251</v>
      </c>
      <c r="M910">
        <v>1336885200</v>
      </c>
      <c r="N910" s="9">
        <f t="shared" si="58"/>
        <v>41031.208333333336</v>
      </c>
      <c r="O910" s="9">
        <f t="shared" si="59"/>
        <v>41042.208333333336</v>
      </c>
      <c r="P910" t="b">
        <v>0</v>
      </c>
      <c r="Q910" t="b">
        <v>0</v>
      </c>
      <c r="R910" t="s">
        <v>89</v>
      </c>
      <c r="S910" s="5" t="str" cm="1">
        <f t="array" ref="S910:T910">_xlfn.TEXTSPLIT(R910, "/")</f>
        <v>games</v>
      </c>
      <c r="T910" s="5" t="str">
        <v>video games</v>
      </c>
    </row>
    <row r="911" spans="1:20" ht="19.5" x14ac:dyDescent="0.4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 s="4">
        <f t="shared" si="56"/>
        <v>478.94444444444446</v>
      </c>
      <c r="K911">
        <v>1528088400</v>
      </c>
      <c r="L911" s="5">
        <f t="shared" si="57"/>
        <v>107.7625</v>
      </c>
      <c r="M911">
        <v>1530421200</v>
      </c>
      <c r="N911" s="9">
        <f t="shared" si="58"/>
        <v>43255.208333333328</v>
      </c>
      <c r="O911" s="9">
        <f t="shared" si="59"/>
        <v>43282.208333333328</v>
      </c>
      <c r="P911" t="b">
        <v>0</v>
      </c>
      <c r="Q911" t="b">
        <v>1</v>
      </c>
      <c r="R911" t="s">
        <v>33</v>
      </c>
      <c r="S911" s="5" t="str" cm="1">
        <f t="array" ref="S911:T911">_xlfn.TEXTSPLIT(R911, "/")</f>
        <v>theater</v>
      </c>
      <c r="T911" s="5" t="str">
        <v>plays</v>
      </c>
    </row>
    <row r="912" spans="1:20" ht="19.5" x14ac:dyDescent="0.4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 s="4">
        <f t="shared" si="56"/>
        <v>19.556634304207122</v>
      </c>
      <c r="K912">
        <v>1421906400</v>
      </c>
      <c r="L912" s="5">
        <f t="shared" si="57"/>
        <v>102.07770270270271</v>
      </c>
      <c r="M912">
        <v>1421992800</v>
      </c>
      <c r="N912" s="9">
        <f t="shared" si="58"/>
        <v>42026.25</v>
      </c>
      <c r="O912" s="9">
        <f t="shared" si="59"/>
        <v>42027.25</v>
      </c>
      <c r="P912" t="b">
        <v>0</v>
      </c>
      <c r="Q912" t="b">
        <v>0</v>
      </c>
      <c r="R912" t="s">
        <v>33</v>
      </c>
      <c r="S912" s="5" t="str" cm="1">
        <f t="array" ref="S912:T912">_xlfn.TEXTSPLIT(R912, "/")</f>
        <v>theater</v>
      </c>
      <c r="T912" s="5" t="str">
        <v>plays</v>
      </c>
    </row>
    <row r="913" spans="1:20" ht="19.5" x14ac:dyDescent="0.4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 s="4">
        <f t="shared" si="56"/>
        <v>198.94827586206895</v>
      </c>
      <c r="K913">
        <v>1568005200</v>
      </c>
      <c r="L913" s="5">
        <f t="shared" si="57"/>
        <v>24.976190476190474</v>
      </c>
      <c r="M913">
        <v>1568178000</v>
      </c>
      <c r="N913" s="9">
        <f t="shared" si="58"/>
        <v>43717.208333333328</v>
      </c>
      <c r="O913" s="9">
        <f t="shared" si="59"/>
        <v>43719.208333333328</v>
      </c>
      <c r="P913" t="b">
        <v>1</v>
      </c>
      <c r="Q913" t="b">
        <v>0</v>
      </c>
      <c r="R913" t="s">
        <v>28</v>
      </c>
      <c r="S913" s="5" t="str" cm="1">
        <f t="array" ref="S913:T913">_xlfn.TEXTSPLIT(R913, "/")</f>
        <v>technology</v>
      </c>
      <c r="T913" s="5" t="str">
        <v>web</v>
      </c>
    </row>
    <row r="914" spans="1:20" ht="19.5" x14ac:dyDescent="0.4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 s="4">
        <f t="shared" si="56"/>
        <v>795</v>
      </c>
      <c r="K914">
        <v>1346821200</v>
      </c>
      <c r="L914" s="5">
        <f t="shared" si="57"/>
        <v>79.944134078212286</v>
      </c>
      <c r="M914">
        <v>1347944400</v>
      </c>
      <c r="N914" s="9">
        <f t="shared" si="58"/>
        <v>41157.208333333336</v>
      </c>
      <c r="O914" s="9">
        <f t="shared" si="59"/>
        <v>41170.208333333336</v>
      </c>
      <c r="P914" t="b">
        <v>1</v>
      </c>
      <c r="Q914" t="b">
        <v>0</v>
      </c>
      <c r="R914" t="s">
        <v>53</v>
      </c>
      <c r="S914" s="5" t="str" cm="1">
        <f t="array" ref="S914:T914">_xlfn.TEXTSPLIT(R914, "/")</f>
        <v>film &amp; video</v>
      </c>
      <c r="T914" s="5" t="str">
        <v>drama</v>
      </c>
    </row>
    <row r="915" spans="1:20" ht="19.5" x14ac:dyDescent="0.4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 s="4">
        <f t="shared" si="56"/>
        <v>50.621082621082621</v>
      </c>
      <c r="K915">
        <v>1557637200</v>
      </c>
      <c r="L915" s="5">
        <f t="shared" si="57"/>
        <v>67.946462715105156</v>
      </c>
      <c r="M915">
        <v>1558760400</v>
      </c>
      <c r="N915" s="9">
        <f t="shared" si="58"/>
        <v>43597.208333333328</v>
      </c>
      <c r="O915" s="9">
        <f t="shared" si="59"/>
        <v>43610.208333333328</v>
      </c>
      <c r="P915" t="b">
        <v>0</v>
      </c>
      <c r="Q915" t="b">
        <v>0</v>
      </c>
      <c r="R915" t="s">
        <v>53</v>
      </c>
      <c r="S915" s="5" t="str" cm="1">
        <f t="array" ref="S915:T915">_xlfn.TEXTSPLIT(R915, "/")</f>
        <v>film &amp; video</v>
      </c>
      <c r="T915" s="5" t="str">
        <v>drama</v>
      </c>
    </row>
    <row r="916" spans="1:20" ht="19.5" x14ac:dyDescent="0.4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 s="4">
        <f t="shared" si="56"/>
        <v>57.4375</v>
      </c>
      <c r="K916">
        <v>1375592400</v>
      </c>
      <c r="L916" s="5">
        <f t="shared" si="57"/>
        <v>26.070921985815602</v>
      </c>
      <c r="M916">
        <v>1376629200</v>
      </c>
      <c r="N916" s="9">
        <f t="shared" si="58"/>
        <v>41490.208333333336</v>
      </c>
      <c r="O916" s="9">
        <f t="shared" si="59"/>
        <v>41502.208333333336</v>
      </c>
      <c r="P916" t="b">
        <v>0</v>
      </c>
      <c r="Q916" t="b">
        <v>0</v>
      </c>
      <c r="R916" t="s">
        <v>33</v>
      </c>
      <c r="S916" s="5" t="str" cm="1">
        <f t="array" ref="S916:T916">_xlfn.TEXTSPLIT(R916, "/")</f>
        <v>theater</v>
      </c>
      <c r="T916" s="5" t="str">
        <v>plays</v>
      </c>
    </row>
    <row r="917" spans="1:20" ht="19.5" x14ac:dyDescent="0.4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 s="4">
        <f t="shared" si="56"/>
        <v>155.62827640984909</v>
      </c>
      <c r="K917">
        <v>1503982800</v>
      </c>
      <c r="L917" s="5">
        <f t="shared" si="57"/>
        <v>105.0032154340836</v>
      </c>
      <c r="M917">
        <v>1504760400</v>
      </c>
      <c r="N917" s="9">
        <f t="shared" si="58"/>
        <v>42976.208333333328</v>
      </c>
      <c r="O917" s="9">
        <f t="shared" si="59"/>
        <v>42985.208333333328</v>
      </c>
      <c r="P917" t="b">
        <v>0</v>
      </c>
      <c r="Q917" t="b">
        <v>0</v>
      </c>
      <c r="R917" t="s">
        <v>269</v>
      </c>
      <c r="S917" s="5" t="str" cm="1">
        <f t="array" ref="S917:T917">_xlfn.TEXTSPLIT(R917, "/")</f>
        <v>film &amp; video</v>
      </c>
      <c r="T917" s="5" t="str">
        <v>television</v>
      </c>
    </row>
    <row r="918" spans="1:20" ht="33.75" x14ac:dyDescent="0.4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 s="4">
        <f t="shared" si="56"/>
        <v>36.297297297297298</v>
      </c>
      <c r="K918">
        <v>1418882400</v>
      </c>
      <c r="L918" s="5">
        <f t="shared" si="57"/>
        <v>25.826923076923077</v>
      </c>
      <c r="M918">
        <v>1419660000</v>
      </c>
      <c r="N918" s="9">
        <f t="shared" si="58"/>
        <v>41991.25</v>
      </c>
      <c r="O918" s="9">
        <f t="shared" si="59"/>
        <v>42000.25</v>
      </c>
      <c r="P918" t="b">
        <v>0</v>
      </c>
      <c r="Q918" t="b">
        <v>0</v>
      </c>
      <c r="R918" t="s">
        <v>122</v>
      </c>
      <c r="S918" s="5" t="str" cm="1">
        <f t="array" ref="S918:T918">_xlfn.TEXTSPLIT(R918, "/")</f>
        <v>photography</v>
      </c>
      <c r="T918" s="5" t="str">
        <v>photography books</v>
      </c>
    </row>
    <row r="919" spans="1:20" ht="19.5" x14ac:dyDescent="0.4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 s="4">
        <f t="shared" si="56"/>
        <v>58.25</v>
      </c>
      <c r="K919">
        <v>1309237200</v>
      </c>
      <c r="L919" s="5">
        <f t="shared" si="57"/>
        <v>77.666666666666671</v>
      </c>
      <c r="M919">
        <v>1311310800</v>
      </c>
      <c r="N919" s="9">
        <f t="shared" si="58"/>
        <v>40722.208333333336</v>
      </c>
      <c r="O919" s="9">
        <f t="shared" si="59"/>
        <v>40746.208333333336</v>
      </c>
      <c r="P919" t="b">
        <v>0</v>
      </c>
      <c r="Q919" t="b">
        <v>1</v>
      </c>
      <c r="R919" t="s">
        <v>100</v>
      </c>
      <c r="S919" s="5" t="str" cm="1">
        <f t="array" ref="S919:T919">_xlfn.TEXTSPLIT(R919, "/")</f>
        <v>film &amp; video</v>
      </c>
      <c r="T919" s="5" t="str">
        <v>shorts</v>
      </c>
    </row>
    <row r="920" spans="1:20" ht="19.5" x14ac:dyDescent="0.4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 s="4">
        <f t="shared" si="56"/>
        <v>237.39473684210526</v>
      </c>
      <c r="K920">
        <v>1343365200</v>
      </c>
      <c r="L920" s="5">
        <f t="shared" si="57"/>
        <v>57.82692307692308</v>
      </c>
      <c r="M920">
        <v>1344315600</v>
      </c>
      <c r="N920" s="9">
        <f t="shared" si="58"/>
        <v>41117.208333333336</v>
      </c>
      <c r="O920" s="9">
        <f t="shared" si="59"/>
        <v>41128.208333333336</v>
      </c>
      <c r="P920" t="b">
        <v>0</v>
      </c>
      <c r="Q920" t="b">
        <v>0</v>
      </c>
      <c r="R920" t="s">
        <v>133</v>
      </c>
      <c r="S920" s="5" t="str" cm="1">
        <f t="array" ref="S920:T920">_xlfn.TEXTSPLIT(R920, "/")</f>
        <v>publishing</v>
      </c>
      <c r="T920" s="5" t="str">
        <v>radio &amp; podcasts</v>
      </c>
    </row>
    <row r="921" spans="1:20" ht="19.5" x14ac:dyDescent="0.4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 s="4">
        <f t="shared" si="56"/>
        <v>58.75</v>
      </c>
      <c r="K921">
        <v>1507957200</v>
      </c>
      <c r="L921" s="5">
        <f t="shared" si="57"/>
        <v>92.955555555555549</v>
      </c>
      <c r="M921">
        <v>1510725600</v>
      </c>
      <c r="N921" s="9">
        <f t="shared" si="58"/>
        <v>43022.208333333328</v>
      </c>
      <c r="O921" s="9">
        <f t="shared" si="59"/>
        <v>43054.25</v>
      </c>
      <c r="P921" t="b">
        <v>0</v>
      </c>
      <c r="Q921" t="b">
        <v>1</v>
      </c>
      <c r="R921" t="s">
        <v>33</v>
      </c>
      <c r="S921" s="5" t="str" cm="1">
        <f t="array" ref="S921:T921">_xlfn.TEXTSPLIT(R921, "/")</f>
        <v>theater</v>
      </c>
      <c r="T921" s="5" t="str">
        <v>plays</v>
      </c>
    </row>
    <row r="922" spans="1:20" ht="19.5" x14ac:dyDescent="0.4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 s="4">
        <f t="shared" si="56"/>
        <v>182.56603773584905</v>
      </c>
      <c r="K922">
        <v>1549519200</v>
      </c>
      <c r="L922" s="5">
        <f t="shared" si="57"/>
        <v>37.945098039215686</v>
      </c>
      <c r="M922">
        <v>1551247200</v>
      </c>
      <c r="N922" s="9">
        <f t="shared" si="58"/>
        <v>43503.25</v>
      </c>
      <c r="O922" s="9">
        <f t="shared" si="59"/>
        <v>43523.25</v>
      </c>
      <c r="P922" t="b">
        <v>1</v>
      </c>
      <c r="Q922" t="b">
        <v>0</v>
      </c>
      <c r="R922" t="s">
        <v>71</v>
      </c>
      <c r="S922" s="5" t="str" cm="1">
        <f t="array" ref="S922:T922">_xlfn.TEXTSPLIT(R922, "/")</f>
        <v>film &amp; video</v>
      </c>
      <c r="T922" s="5" t="str">
        <v>animation</v>
      </c>
    </row>
    <row r="923" spans="1:20" ht="19.5" x14ac:dyDescent="0.4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 s="4">
        <f t="shared" si="56"/>
        <v>0.75436408977556113</v>
      </c>
      <c r="K923">
        <v>1329026400</v>
      </c>
      <c r="L923" s="5">
        <f t="shared" si="57"/>
        <v>31.842105263157894</v>
      </c>
      <c r="M923">
        <v>1330236000</v>
      </c>
      <c r="N923" s="9">
        <f t="shared" si="58"/>
        <v>40951.25</v>
      </c>
      <c r="O923" s="9">
        <f t="shared" si="59"/>
        <v>40965.25</v>
      </c>
      <c r="P923" t="b">
        <v>0</v>
      </c>
      <c r="Q923" t="b">
        <v>0</v>
      </c>
      <c r="R923" t="s">
        <v>28</v>
      </c>
      <c r="S923" s="5" t="str" cm="1">
        <f t="array" ref="S923:T923">_xlfn.TEXTSPLIT(R923, "/")</f>
        <v>technology</v>
      </c>
      <c r="T923" s="5" t="str">
        <v>web</v>
      </c>
    </row>
    <row r="924" spans="1:20" ht="19.5" x14ac:dyDescent="0.4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 s="4">
        <f t="shared" si="56"/>
        <v>175.95330739299609</v>
      </c>
      <c r="K924">
        <v>1544335200</v>
      </c>
      <c r="L924" s="5">
        <f t="shared" si="57"/>
        <v>40</v>
      </c>
      <c r="M924">
        <v>1545112800</v>
      </c>
      <c r="N924" s="9">
        <f t="shared" si="58"/>
        <v>43443.25</v>
      </c>
      <c r="O924" s="9">
        <f t="shared" si="59"/>
        <v>43452.25</v>
      </c>
      <c r="P924" t="b">
        <v>0</v>
      </c>
      <c r="Q924" t="b">
        <v>1</v>
      </c>
      <c r="R924" t="s">
        <v>319</v>
      </c>
      <c r="S924" s="5" t="str" cm="1">
        <f t="array" ref="S924:T924">_xlfn.TEXTSPLIT(R924, "/")</f>
        <v>music</v>
      </c>
      <c r="T924" s="5" t="str">
        <v>world music</v>
      </c>
    </row>
    <row r="925" spans="1:20" ht="19.5" x14ac:dyDescent="0.4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 s="4">
        <f t="shared" si="56"/>
        <v>237.88235294117646</v>
      </c>
      <c r="K925">
        <v>1279083600</v>
      </c>
      <c r="L925" s="5">
        <f t="shared" si="57"/>
        <v>101.1</v>
      </c>
      <c r="M925">
        <v>1279170000</v>
      </c>
      <c r="N925" s="9">
        <f t="shared" si="58"/>
        <v>40373.208333333336</v>
      </c>
      <c r="O925" s="9">
        <f t="shared" si="59"/>
        <v>40374.208333333336</v>
      </c>
      <c r="P925" t="b">
        <v>0</v>
      </c>
      <c r="Q925" t="b">
        <v>0</v>
      </c>
      <c r="R925" t="s">
        <v>33</v>
      </c>
      <c r="S925" s="5" t="str" cm="1">
        <f t="array" ref="S925:T925">_xlfn.TEXTSPLIT(R925, "/")</f>
        <v>theater</v>
      </c>
      <c r="T925" s="5" t="str">
        <v>plays</v>
      </c>
    </row>
    <row r="926" spans="1:20" ht="19.5" x14ac:dyDescent="0.4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 s="4">
        <f t="shared" si="56"/>
        <v>488.05076142131981</v>
      </c>
      <c r="K926">
        <v>1572498000</v>
      </c>
      <c r="L926" s="5">
        <f t="shared" si="57"/>
        <v>84.006989951944078</v>
      </c>
      <c r="M926">
        <v>1573452000</v>
      </c>
      <c r="N926" s="9">
        <f t="shared" si="58"/>
        <v>43769.208333333328</v>
      </c>
      <c r="O926" s="9">
        <f t="shared" si="59"/>
        <v>43780.25</v>
      </c>
      <c r="P926" t="b">
        <v>0</v>
      </c>
      <c r="Q926" t="b">
        <v>0</v>
      </c>
      <c r="R926" t="s">
        <v>33</v>
      </c>
      <c r="S926" s="5" t="str" cm="1">
        <f t="array" ref="S926:T926">_xlfn.TEXTSPLIT(R926, "/")</f>
        <v>theater</v>
      </c>
      <c r="T926" s="5" t="str">
        <v>plays</v>
      </c>
    </row>
    <row r="927" spans="1:20" ht="33.75" x14ac:dyDescent="0.4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 s="4">
        <f t="shared" si="56"/>
        <v>224.06666666666669</v>
      </c>
      <c r="K927">
        <v>1506056400</v>
      </c>
      <c r="L927" s="5">
        <f t="shared" si="57"/>
        <v>103.41538461538461</v>
      </c>
      <c r="M927">
        <v>1507093200</v>
      </c>
      <c r="N927" s="9">
        <f t="shared" si="58"/>
        <v>43000.208333333328</v>
      </c>
      <c r="O927" s="9">
        <f t="shared" si="59"/>
        <v>43012.208333333328</v>
      </c>
      <c r="P927" t="b">
        <v>0</v>
      </c>
      <c r="Q927" t="b">
        <v>0</v>
      </c>
      <c r="R927" t="s">
        <v>33</v>
      </c>
      <c r="S927" s="5" t="str" cm="1">
        <f t="array" ref="S927:T927">_xlfn.TEXTSPLIT(R927, "/")</f>
        <v>theater</v>
      </c>
      <c r="T927" s="5" t="str">
        <v>plays</v>
      </c>
    </row>
    <row r="928" spans="1:20" ht="19.5" x14ac:dyDescent="0.4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 s="4">
        <f t="shared" si="56"/>
        <v>18.126436781609197</v>
      </c>
      <c r="K928">
        <v>1463029200</v>
      </c>
      <c r="L928" s="5">
        <f t="shared" si="57"/>
        <v>105.13333333333334</v>
      </c>
      <c r="M928">
        <v>1463374800</v>
      </c>
      <c r="N928" s="9">
        <f t="shared" si="58"/>
        <v>42502.208333333328</v>
      </c>
      <c r="O928" s="9">
        <f t="shared" si="59"/>
        <v>42506.208333333328</v>
      </c>
      <c r="P928" t="b">
        <v>0</v>
      </c>
      <c r="Q928" t="b">
        <v>0</v>
      </c>
      <c r="R928" t="s">
        <v>17</v>
      </c>
      <c r="S928" s="5" t="str" cm="1">
        <f t="array" ref="S928:T928">_xlfn.TEXTSPLIT(R928, "/")</f>
        <v>food</v>
      </c>
      <c r="T928" s="5" t="str">
        <v>food trucks</v>
      </c>
    </row>
    <row r="929" spans="1:20" ht="19.5" x14ac:dyDescent="0.4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 s="4">
        <f t="shared" si="56"/>
        <v>45.847222222222221</v>
      </c>
      <c r="K929">
        <v>1342069200</v>
      </c>
      <c r="L929" s="5">
        <f t="shared" si="57"/>
        <v>89.21621621621621</v>
      </c>
      <c r="M929">
        <v>1344574800</v>
      </c>
      <c r="N929" s="9">
        <f t="shared" si="58"/>
        <v>41102.208333333336</v>
      </c>
      <c r="O929" s="9">
        <f t="shared" si="59"/>
        <v>41131.208333333336</v>
      </c>
      <c r="P929" t="b">
        <v>0</v>
      </c>
      <c r="Q929" t="b">
        <v>0</v>
      </c>
      <c r="R929" t="s">
        <v>33</v>
      </c>
      <c r="S929" s="5" t="str" cm="1">
        <f t="array" ref="S929:T929">_xlfn.TEXTSPLIT(R929, "/")</f>
        <v>theater</v>
      </c>
      <c r="T929" s="5" t="str">
        <v>plays</v>
      </c>
    </row>
    <row r="930" spans="1:20" ht="19.5" x14ac:dyDescent="0.4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 s="4">
        <f t="shared" si="56"/>
        <v>117.31541218637993</v>
      </c>
      <c r="K930">
        <v>1388296800</v>
      </c>
      <c r="L930" s="5">
        <f t="shared" si="57"/>
        <v>51.995234312946785</v>
      </c>
      <c r="M930">
        <v>1389074400</v>
      </c>
      <c r="N930" s="9">
        <f t="shared" si="58"/>
        <v>41637.25</v>
      </c>
      <c r="O930" s="9">
        <f t="shared" si="59"/>
        <v>41646.25</v>
      </c>
      <c r="P930" t="b">
        <v>0</v>
      </c>
      <c r="Q930" t="b">
        <v>0</v>
      </c>
      <c r="R930" t="s">
        <v>28</v>
      </c>
      <c r="S930" s="5" t="str" cm="1">
        <f t="array" ref="S930:T930">_xlfn.TEXTSPLIT(R930, "/")</f>
        <v>technology</v>
      </c>
      <c r="T930" s="5" t="str">
        <v>web</v>
      </c>
    </row>
    <row r="931" spans="1:20" ht="19.5" x14ac:dyDescent="0.4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 s="4">
        <f t="shared" si="56"/>
        <v>217.30909090909088</v>
      </c>
      <c r="K931">
        <v>1493787600</v>
      </c>
      <c r="L931" s="5">
        <f t="shared" si="57"/>
        <v>64.956521739130437</v>
      </c>
      <c r="M931">
        <v>1494997200</v>
      </c>
      <c r="N931" s="9">
        <f t="shared" si="58"/>
        <v>42858.208333333328</v>
      </c>
      <c r="O931" s="9">
        <f t="shared" si="59"/>
        <v>42872.208333333328</v>
      </c>
      <c r="P931" t="b">
        <v>0</v>
      </c>
      <c r="Q931" t="b">
        <v>0</v>
      </c>
      <c r="R931" t="s">
        <v>33</v>
      </c>
      <c r="S931" s="5" t="str" cm="1">
        <f t="array" ref="S931:T931">_xlfn.TEXTSPLIT(R931, "/")</f>
        <v>theater</v>
      </c>
      <c r="T931" s="5" t="str">
        <v>plays</v>
      </c>
    </row>
    <row r="932" spans="1:20" ht="19.5" x14ac:dyDescent="0.4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 s="4">
        <f t="shared" si="56"/>
        <v>112.28571428571428</v>
      </c>
      <c r="K932">
        <v>1424844000</v>
      </c>
      <c r="L932" s="5">
        <f t="shared" si="57"/>
        <v>46.235294117647058</v>
      </c>
      <c r="M932">
        <v>1425448800</v>
      </c>
      <c r="N932" s="9">
        <f t="shared" si="58"/>
        <v>42060.25</v>
      </c>
      <c r="O932" s="9">
        <f t="shared" si="59"/>
        <v>42067.25</v>
      </c>
      <c r="P932" t="b">
        <v>0</v>
      </c>
      <c r="Q932" t="b">
        <v>1</v>
      </c>
      <c r="R932" t="s">
        <v>33</v>
      </c>
      <c r="S932" s="5" t="str" cm="1">
        <f t="array" ref="S932:T932">_xlfn.TEXTSPLIT(R932, "/")</f>
        <v>theater</v>
      </c>
      <c r="T932" s="5" t="str">
        <v>plays</v>
      </c>
    </row>
    <row r="933" spans="1:20" ht="19.5" x14ac:dyDescent="0.4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 s="4">
        <f t="shared" si="56"/>
        <v>72.51898734177216</v>
      </c>
      <c r="K933">
        <v>1403931600</v>
      </c>
      <c r="L933" s="5">
        <f t="shared" si="57"/>
        <v>51.151785714285715</v>
      </c>
      <c r="M933">
        <v>1404104400</v>
      </c>
      <c r="N933" s="9">
        <f t="shared" si="58"/>
        <v>41818.208333333336</v>
      </c>
      <c r="O933" s="9">
        <f t="shared" si="59"/>
        <v>41820.208333333336</v>
      </c>
      <c r="P933" t="b">
        <v>0</v>
      </c>
      <c r="Q933" t="b">
        <v>1</v>
      </c>
      <c r="R933" t="s">
        <v>33</v>
      </c>
      <c r="S933" s="5" t="str" cm="1">
        <f t="array" ref="S933:T933">_xlfn.TEXTSPLIT(R933, "/")</f>
        <v>theater</v>
      </c>
      <c r="T933" s="5" t="str">
        <v>plays</v>
      </c>
    </row>
    <row r="934" spans="1:20" ht="19.5" x14ac:dyDescent="0.4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 s="4">
        <f t="shared" si="56"/>
        <v>212.30434782608697</v>
      </c>
      <c r="K934">
        <v>1394514000</v>
      </c>
      <c r="L934" s="5">
        <f t="shared" si="57"/>
        <v>33.909722222222221</v>
      </c>
      <c r="M934">
        <v>1394773200</v>
      </c>
      <c r="N934" s="9">
        <f t="shared" si="58"/>
        <v>41709.208333333336</v>
      </c>
      <c r="O934" s="9">
        <f t="shared" si="59"/>
        <v>41712.208333333336</v>
      </c>
      <c r="P934" t="b">
        <v>0</v>
      </c>
      <c r="Q934" t="b">
        <v>0</v>
      </c>
      <c r="R934" t="s">
        <v>23</v>
      </c>
      <c r="S934" s="5" t="str" cm="1">
        <f t="array" ref="S934:T934">_xlfn.TEXTSPLIT(R934, "/")</f>
        <v>music</v>
      </c>
      <c r="T934" s="5" t="str">
        <v>rock</v>
      </c>
    </row>
    <row r="935" spans="1:20" ht="19.5" x14ac:dyDescent="0.4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 s="4">
        <f t="shared" si="56"/>
        <v>239.74657534246577</v>
      </c>
      <c r="K935">
        <v>1365397200</v>
      </c>
      <c r="L935" s="5">
        <f t="shared" si="57"/>
        <v>92.016298633017882</v>
      </c>
      <c r="M935">
        <v>1366520400</v>
      </c>
      <c r="N935" s="9">
        <f t="shared" si="58"/>
        <v>41372.208333333336</v>
      </c>
      <c r="O935" s="9">
        <f t="shared" si="59"/>
        <v>41385.208333333336</v>
      </c>
      <c r="P935" t="b">
        <v>0</v>
      </c>
      <c r="Q935" t="b">
        <v>0</v>
      </c>
      <c r="R935" t="s">
        <v>33</v>
      </c>
      <c r="S935" s="5" t="str" cm="1">
        <f t="array" ref="S935:T935">_xlfn.TEXTSPLIT(R935, "/")</f>
        <v>theater</v>
      </c>
      <c r="T935" s="5" t="str">
        <v>plays</v>
      </c>
    </row>
    <row r="936" spans="1:20" ht="19.5" x14ac:dyDescent="0.4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 s="4">
        <f t="shared" si="56"/>
        <v>181.93548387096774</v>
      </c>
      <c r="K936">
        <v>1456120800</v>
      </c>
      <c r="L936" s="5">
        <f t="shared" si="57"/>
        <v>107.42857142857143</v>
      </c>
      <c r="M936">
        <v>1456639200</v>
      </c>
      <c r="N936" s="9">
        <f t="shared" si="58"/>
        <v>42422.25</v>
      </c>
      <c r="O936" s="9">
        <f t="shared" si="59"/>
        <v>42428.25</v>
      </c>
      <c r="P936" t="b">
        <v>0</v>
      </c>
      <c r="Q936" t="b">
        <v>0</v>
      </c>
      <c r="R936" t="s">
        <v>33</v>
      </c>
      <c r="S936" s="5" t="str" cm="1">
        <f t="array" ref="S936:T936">_xlfn.TEXTSPLIT(R936, "/")</f>
        <v>theater</v>
      </c>
      <c r="T936" s="5" t="str">
        <v>plays</v>
      </c>
    </row>
    <row r="937" spans="1:20" ht="33.75" x14ac:dyDescent="0.4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 s="4">
        <f t="shared" si="56"/>
        <v>164.13114754098362</v>
      </c>
      <c r="K937">
        <v>1437714000</v>
      </c>
      <c r="L937" s="5">
        <f t="shared" si="57"/>
        <v>75.848484848484844</v>
      </c>
      <c r="M937">
        <v>1438318800</v>
      </c>
      <c r="N937" s="9">
        <f t="shared" si="58"/>
        <v>42209.208333333328</v>
      </c>
      <c r="O937" s="9">
        <f t="shared" si="59"/>
        <v>42216.208333333328</v>
      </c>
      <c r="P937" t="b">
        <v>0</v>
      </c>
      <c r="Q937" t="b">
        <v>0</v>
      </c>
      <c r="R937" t="s">
        <v>33</v>
      </c>
      <c r="S937" s="5" t="str" cm="1">
        <f t="array" ref="S937:T937">_xlfn.TEXTSPLIT(R937, "/")</f>
        <v>theater</v>
      </c>
      <c r="T937" s="5" t="str">
        <v>plays</v>
      </c>
    </row>
    <row r="938" spans="1:20" ht="19.5" x14ac:dyDescent="0.4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 s="4">
        <f t="shared" si="56"/>
        <v>1.6375968992248062</v>
      </c>
      <c r="K938">
        <v>1563771600</v>
      </c>
      <c r="L938" s="5">
        <f t="shared" si="57"/>
        <v>80.476190476190482</v>
      </c>
      <c r="M938">
        <v>1564030800</v>
      </c>
      <c r="N938" s="9">
        <f t="shared" si="58"/>
        <v>43668.208333333328</v>
      </c>
      <c r="O938" s="9">
        <f t="shared" si="59"/>
        <v>43671.208333333328</v>
      </c>
      <c r="P938" t="b">
        <v>1</v>
      </c>
      <c r="Q938" t="b">
        <v>0</v>
      </c>
      <c r="R938" t="s">
        <v>33</v>
      </c>
      <c r="S938" s="5" t="str" cm="1">
        <f t="array" ref="S938:T938">_xlfn.TEXTSPLIT(R938, "/")</f>
        <v>theater</v>
      </c>
      <c r="T938" s="5" t="str">
        <v>plays</v>
      </c>
    </row>
    <row r="939" spans="1:20" ht="19.5" x14ac:dyDescent="0.4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 s="4">
        <f t="shared" si="56"/>
        <v>49.64385964912281</v>
      </c>
      <c r="K939">
        <v>1448517600</v>
      </c>
      <c r="L939" s="5">
        <f t="shared" si="57"/>
        <v>86.978483606557376</v>
      </c>
      <c r="M939">
        <v>1449295200</v>
      </c>
      <c r="N939" s="9">
        <f t="shared" si="58"/>
        <v>42334.25</v>
      </c>
      <c r="O939" s="9">
        <f t="shared" si="59"/>
        <v>42343.25</v>
      </c>
      <c r="P939" t="b">
        <v>0</v>
      </c>
      <c r="Q939" t="b">
        <v>0</v>
      </c>
      <c r="R939" t="s">
        <v>42</v>
      </c>
      <c r="S939" s="5" t="str" cm="1">
        <f t="array" ref="S939:T939">_xlfn.TEXTSPLIT(R939, "/")</f>
        <v>film &amp; video</v>
      </c>
      <c r="T939" s="5" t="str">
        <v>documentary</v>
      </c>
    </row>
    <row r="940" spans="1:20" ht="19.5" x14ac:dyDescent="0.4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 s="4">
        <f t="shared" si="56"/>
        <v>109.70652173913042</v>
      </c>
      <c r="K940">
        <v>1528779600</v>
      </c>
      <c r="L940" s="5">
        <f t="shared" si="57"/>
        <v>105.13541666666667</v>
      </c>
      <c r="M940">
        <v>1531890000</v>
      </c>
      <c r="N940" s="9">
        <f t="shared" si="58"/>
        <v>43263.208333333328</v>
      </c>
      <c r="O940" s="9">
        <f t="shared" si="59"/>
        <v>43299.208333333328</v>
      </c>
      <c r="P940" t="b">
        <v>0</v>
      </c>
      <c r="Q940" t="b">
        <v>1</v>
      </c>
      <c r="R940" t="s">
        <v>119</v>
      </c>
      <c r="S940" s="5" t="str" cm="1">
        <f t="array" ref="S940:T940">_xlfn.TEXTSPLIT(R940, "/")</f>
        <v>publishing</v>
      </c>
      <c r="T940" s="5" t="str">
        <v>fiction</v>
      </c>
    </row>
    <row r="941" spans="1:20" ht="33.75" x14ac:dyDescent="0.4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 s="4">
        <f t="shared" si="56"/>
        <v>49.217948717948715</v>
      </c>
      <c r="K941">
        <v>1304744400</v>
      </c>
      <c r="L941" s="5">
        <f t="shared" si="57"/>
        <v>57.298507462686565</v>
      </c>
      <c r="M941">
        <v>1306213200</v>
      </c>
      <c r="N941" s="9">
        <f t="shared" si="58"/>
        <v>40670.208333333336</v>
      </c>
      <c r="O941" s="9">
        <f t="shared" si="59"/>
        <v>40687.208333333336</v>
      </c>
      <c r="P941" t="b">
        <v>0</v>
      </c>
      <c r="Q941" t="b">
        <v>1</v>
      </c>
      <c r="R941" t="s">
        <v>89</v>
      </c>
      <c r="S941" s="5" t="str" cm="1">
        <f t="array" ref="S941:T941">_xlfn.TEXTSPLIT(R941, "/")</f>
        <v>games</v>
      </c>
      <c r="T941" s="5" t="str">
        <v>video games</v>
      </c>
    </row>
    <row r="942" spans="1:20" ht="19.5" x14ac:dyDescent="0.4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 s="4">
        <f t="shared" si="56"/>
        <v>62.232323232323225</v>
      </c>
      <c r="K942">
        <v>1354341600</v>
      </c>
      <c r="L942" s="5">
        <f t="shared" si="57"/>
        <v>93.348484848484844</v>
      </c>
      <c r="M942">
        <v>1356242400</v>
      </c>
      <c r="N942" s="9">
        <f t="shared" si="58"/>
        <v>41244.25</v>
      </c>
      <c r="O942" s="9">
        <f t="shared" si="59"/>
        <v>41266.25</v>
      </c>
      <c r="P942" t="b">
        <v>0</v>
      </c>
      <c r="Q942" t="b">
        <v>0</v>
      </c>
      <c r="R942" t="s">
        <v>28</v>
      </c>
      <c r="S942" s="5" t="str" cm="1">
        <f t="array" ref="S942:T942">_xlfn.TEXTSPLIT(R942, "/")</f>
        <v>technology</v>
      </c>
      <c r="T942" s="5" t="str">
        <v>web</v>
      </c>
    </row>
    <row r="943" spans="1:20" ht="19.5" x14ac:dyDescent="0.4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 s="4">
        <f t="shared" si="56"/>
        <v>13.05813953488372</v>
      </c>
      <c r="K943">
        <v>1294552800</v>
      </c>
      <c r="L943" s="5">
        <f t="shared" si="57"/>
        <v>71.987179487179489</v>
      </c>
      <c r="M943">
        <v>1297576800</v>
      </c>
      <c r="N943" s="9">
        <f t="shared" si="58"/>
        <v>40552.25</v>
      </c>
      <c r="O943" s="9">
        <f t="shared" si="59"/>
        <v>40587.25</v>
      </c>
      <c r="P943" t="b">
        <v>1</v>
      </c>
      <c r="Q943" t="b">
        <v>0</v>
      </c>
      <c r="R943" t="s">
        <v>33</v>
      </c>
      <c r="S943" s="5" t="str" cm="1">
        <f t="array" ref="S943:T943">_xlfn.TEXTSPLIT(R943, "/")</f>
        <v>theater</v>
      </c>
      <c r="T943" s="5" t="str">
        <v>plays</v>
      </c>
    </row>
    <row r="944" spans="1:20" ht="19.5" x14ac:dyDescent="0.4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 s="4">
        <f t="shared" si="56"/>
        <v>64.635416666666671</v>
      </c>
      <c r="K944">
        <v>1295935200</v>
      </c>
      <c r="L944" s="5">
        <f t="shared" si="57"/>
        <v>92.611940298507463</v>
      </c>
      <c r="M944">
        <v>1296194400</v>
      </c>
      <c r="N944" s="9">
        <f t="shared" si="58"/>
        <v>40568.25</v>
      </c>
      <c r="O944" s="9">
        <f t="shared" si="59"/>
        <v>40571.25</v>
      </c>
      <c r="P944" t="b">
        <v>0</v>
      </c>
      <c r="Q944" t="b">
        <v>0</v>
      </c>
      <c r="R944" t="s">
        <v>33</v>
      </c>
      <c r="S944" s="5" t="str" cm="1">
        <f t="array" ref="S944:T944">_xlfn.TEXTSPLIT(R944, "/")</f>
        <v>theater</v>
      </c>
      <c r="T944" s="5" t="str">
        <v>plays</v>
      </c>
    </row>
    <row r="945" spans="1:20" ht="19.5" x14ac:dyDescent="0.4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 s="4">
        <f t="shared" si="56"/>
        <v>159.58666666666667</v>
      </c>
      <c r="K945">
        <v>1411534800</v>
      </c>
      <c r="L945" s="5">
        <f t="shared" si="57"/>
        <v>104.99122807017544</v>
      </c>
      <c r="M945">
        <v>1414558800</v>
      </c>
      <c r="N945" s="9">
        <f t="shared" si="58"/>
        <v>41906.208333333336</v>
      </c>
      <c r="O945" s="9">
        <f t="shared" si="59"/>
        <v>41941.208333333336</v>
      </c>
      <c r="P945" t="b">
        <v>0</v>
      </c>
      <c r="Q945" t="b">
        <v>0</v>
      </c>
      <c r="R945" t="s">
        <v>17</v>
      </c>
      <c r="S945" s="5" t="str" cm="1">
        <f t="array" ref="S945:T945">_xlfn.TEXTSPLIT(R945, "/")</f>
        <v>food</v>
      </c>
      <c r="T945" s="5" t="str">
        <v>food trucks</v>
      </c>
    </row>
    <row r="946" spans="1:20" ht="19.5" x14ac:dyDescent="0.4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 s="4">
        <f t="shared" si="56"/>
        <v>81.42</v>
      </c>
      <c r="K946">
        <v>1486706400</v>
      </c>
      <c r="L946" s="5">
        <f t="shared" si="57"/>
        <v>30.958174904942965</v>
      </c>
      <c r="M946">
        <v>1488348000</v>
      </c>
      <c r="N946" s="9">
        <f t="shared" si="58"/>
        <v>42776.25</v>
      </c>
      <c r="O946" s="9">
        <f t="shared" si="59"/>
        <v>42795.25</v>
      </c>
      <c r="P946" t="b">
        <v>0</v>
      </c>
      <c r="Q946" t="b">
        <v>0</v>
      </c>
      <c r="R946" t="s">
        <v>122</v>
      </c>
      <c r="S946" s="5" t="str" cm="1">
        <f t="array" ref="S946:T946">_xlfn.TEXTSPLIT(R946, "/")</f>
        <v>photography</v>
      </c>
      <c r="T946" s="5" t="str">
        <v>photography books</v>
      </c>
    </row>
    <row r="947" spans="1:20" ht="19.5" x14ac:dyDescent="0.4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 s="4">
        <f t="shared" si="56"/>
        <v>32.444767441860463</v>
      </c>
      <c r="K947">
        <v>1333602000</v>
      </c>
      <c r="L947" s="5">
        <f t="shared" si="57"/>
        <v>33.001182732111175</v>
      </c>
      <c r="M947">
        <v>1334898000</v>
      </c>
      <c r="N947" s="9">
        <f t="shared" si="58"/>
        <v>41004.208333333336</v>
      </c>
      <c r="O947" s="9">
        <f t="shared" si="59"/>
        <v>41019.208333333336</v>
      </c>
      <c r="P947" t="b">
        <v>1</v>
      </c>
      <c r="Q947" t="b">
        <v>0</v>
      </c>
      <c r="R947" t="s">
        <v>122</v>
      </c>
      <c r="S947" s="5" t="str" cm="1">
        <f t="array" ref="S947:T947">_xlfn.TEXTSPLIT(R947, "/")</f>
        <v>photography</v>
      </c>
      <c r="T947" s="5" t="str">
        <v>photography books</v>
      </c>
    </row>
    <row r="948" spans="1:20" ht="33.75" x14ac:dyDescent="0.4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 s="4">
        <f t="shared" si="56"/>
        <v>9.9141184124918666</v>
      </c>
      <c r="K948">
        <v>1308200400</v>
      </c>
      <c r="L948" s="5">
        <f t="shared" si="57"/>
        <v>84.187845303867405</v>
      </c>
      <c r="M948">
        <v>1308373200</v>
      </c>
      <c r="N948" s="9">
        <f t="shared" si="58"/>
        <v>40710.208333333336</v>
      </c>
      <c r="O948" s="9">
        <f t="shared" si="59"/>
        <v>40712.208333333336</v>
      </c>
      <c r="P948" t="b">
        <v>0</v>
      </c>
      <c r="Q948" t="b">
        <v>0</v>
      </c>
      <c r="R948" t="s">
        <v>33</v>
      </c>
      <c r="S948" s="5" t="str" cm="1">
        <f t="array" ref="S948:T948">_xlfn.TEXTSPLIT(R948, "/")</f>
        <v>theater</v>
      </c>
      <c r="T948" s="5" t="str">
        <v>plays</v>
      </c>
    </row>
    <row r="949" spans="1:20" ht="19.5" x14ac:dyDescent="0.4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 s="4">
        <f t="shared" si="56"/>
        <v>26.694444444444443</v>
      </c>
      <c r="K949">
        <v>1411707600</v>
      </c>
      <c r="L949" s="5">
        <f t="shared" si="57"/>
        <v>73.92307692307692</v>
      </c>
      <c r="M949">
        <v>1412312400</v>
      </c>
      <c r="N949" s="9">
        <f t="shared" si="58"/>
        <v>41908.208333333336</v>
      </c>
      <c r="O949" s="9">
        <f t="shared" si="59"/>
        <v>41915.208333333336</v>
      </c>
      <c r="P949" t="b">
        <v>0</v>
      </c>
      <c r="Q949" t="b">
        <v>0</v>
      </c>
      <c r="R949" t="s">
        <v>33</v>
      </c>
      <c r="S949" s="5" t="str" cm="1">
        <f t="array" ref="S949:T949">_xlfn.TEXTSPLIT(R949, "/")</f>
        <v>theater</v>
      </c>
      <c r="T949" s="5" t="str">
        <v>plays</v>
      </c>
    </row>
    <row r="950" spans="1:20" ht="19.5" x14ac:dyDescent="0.4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 s="4">
        <f t="shared" si="56"/>
        <v>62.957446808510639</v>
      </c>
      <c r="K950">
        <v>1418364000</v>
      </c>
      <c r="L950" s="5">
        <f t="shared" si="57"/>
        <v>36.987499999999997</v>
      </c>
      <c r="M950">
        <v>1419228000</v>
      </c>
      <c r="N950" s="9">
        <f t="shared" si="58"/>
        <v>41985.25</v>
      </c>
      <c r="O950" s="9">
        <f t="shared" si="59"/>
        <v>41995.25</v>
      </c>
      <c r="P950" t="b">
        <v>1</v>
      </c>
      <c r="Q950" t="b">
        <v>1</v>
      </c>
      <c r="R950" t="s">
        <v>42</v>
      </c>
      <c r="S950" s="5" t="str" cm="1">
        <f t="array" ref="S950:T950">_xlfn.TEXTSPLIT(R950, "/")</f>
        <v>film &amp; video</v>
      </c>
      <c r="T950" s="5" t="str">
        <v>documentary</v>
      </c>
    </row>
    <row r="951" spans="1:20" ht="33.75" x14ac:dyDescent="0.4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 s="4">
        <f t="shared" si="56"/>
        <v>161.35593220338984</v>
      </c>
      <c r="K951">
        <v>1429333200</v>
      </c>
      <c r="L951" s="5">
        <f t="shared" si="57"/>
        <v>46.896551724137929</v>
      </c>
      <c r="M951">
        <v>1430974800</v>
      </c>
      <c r="N951" s="9">
        <f t="shared" si="58"/>
        <v>42112.208333333328</v>
      </c>
      <c r="O951" s="9">
        <f t="shared" si="59"/>
        <v>42131.208333333328</v>
      </c>
      <c r="P951" t="b">
        <v>0</v>
      </c>
      <c r="Q951" t="b">
        <v>0</v>
      </c>
      <c r="R951" t="s">
        <v>28</v>
      </c>
      <c r="S951" s="5" t="str" cm="1">
        <f t="array" ref="S951:T951">_xlfn.TEXTSPLIT(R951, "/")</f>
        <v>technology</v>
      </c>
      <c r="T951" s="5" t="str">
        <v>web</v>
      </c>
    </row>
    <row r="952" spans="1:20" ht="19.5" x14ac:dyDescent="0.4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 s="4">
        <f t="shared" si="56"/>
        <v>5</v>
      </c>
      <c r="K952">
        <v>1555390800</v>
      </c>
      <c r="L952" s="5">
        <f t="shared" si="57"/>
        <v>5</v>
      </c>
      <c r="M952">
        <v>1555822800</v>
      </c>
      <c r="N952" s="9">
        <f t="shared" si="58"/>
        <v>43571.208333333328</v>
      </c>
      <c r="O952" s="9">
        <f t="shared" si="59"/>
        <v>43576.208333333328</v>
      </c>
      <c r="P952" t="b">
        <v>0</v>
      </c>
      <c r="Q952" t="b">
        <v>1</v>
      </c>
      <c r="R952" t="s">
        <v>33</v>
      </c>
      <c r="S952" s="5" t="str" cm="1">
        <f t="array" ref="S952:T952">_xlfn.TEXTSPLIT(R952, "/")</f>
        <v>theater</v>
      </c>
      <c r="T952" s="5" t="str">
        <v>plays</v>
      </c>
    </row>
    <row r="953" spans="1:20" ht="19.5" x14ac:dyDescent="0.4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 s="4">
        <f t="shared" si="56"/>
        <v>1096.9379310344827</v>
      </c>
      <c r="K953">
        <v>1482732000</v>
      </c>
      <c r="L953" s="5">
        <f t="shared" si="57"/>
        <v>102.02437459910199</v>
      </c>
      <c r="M953">
        <v>1482818400</v>
      </c>
      <c r="N953" s="9">
        <f t="shared" si="58"/>
        <v>42730.25</v>
      </c>
      <c r="O953" s="9">
        <f t="shared" si="59"/>
        <v>42731.25</v>
      </c>
      <c r="P953" t="b">
        <v>0</v>
      </c>
      <c r="Q953" t="b">
        <v>1</v>
      </c>
      <c r="R953" t="s">
        <v>23</v>
      </c>
      <c r="S953" s="5" t="str" cm="1">
        <f t="array" ref="S953:T953">_xlfn.TEXTSPLIT(R953, "/")</f>
        <v>music</v>
      </c>
      <c r="T953" s="5" t="str">
        <v>rock</v>
      </c>
    </row>
    <row r="954" spans="1:20" ht="19.5" x14ac:dyDescent="0.4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 s="4">
        <f t="shared" si="56"/>
        <v>70.094158075601371</v>
      </c>
      <c r="K954">
        <v>1470718800</v>
      </c>
      <c r="L954" s="5">
        <f t="shared" si="57"/>
        <v>45.007502206531335</v>
      </c>
      <c r="M954">
        <v>1471928400</v>
      </c>
      <c r="N954" s="9">
        <f t="shared" si="58"/>
        <v>42591.208333333328</v>
      </c>
      <c r="O954" s="9">
        <f t="shared" si="59"/>
        <v>42605.208333333328</v>
      </c>
      <c r="P954" t="b">
        <v>0</v>
      </c>
      <c r="Q954" t="b">
        <v>0</v>
      </c>
      <c r="R954" t="s">
        <v>42</v>
      </c>
      <c r="S954" s="5" t="str" cm="1">
        <f t="array" ref="S954:T954">_xlfn.TEXTSPLIT(R954, "/")</f>
        <v>film &amp; video</v>
      </c>
      <c r="T954" s="5" t="str">
        <v>documentary</v>
      </c>
    </row>
    <row r="955" spans="1:20" ht="33.75" x14ac:dyDescent="0.4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 s="4">
        <f t="shared" si="56"/>
        <v>60</v>
      </c>
      <c r="K955">
        <v>1450591200</v>
      </c>
      <c r="L955" s="5">
        <f t="shared" si="57"/>
        <v>94.285714285714292</v>
      </c>
      <c r="M955">
        <v>1453701600</v>
      </c>
      <c r="N955" s="9">
        <f t="shared" si="58"/>
        <v>42358.25</v>
      </c>
      <c r="O955" s="9">
        <f t="shared" si="59"/>
        <v>42394.25</v>
      </c>
      <c r="P955" t="b">
        <v>0</v>
      </c>
      <c r="Q955" t="b">
        <v>1</v>
      </c>
      <c r="R955" t="s">
        <v>474</v>
      </c>
      <c r="S955" s="5" t="str" cm="1">
        <f t="array" ref="S955:T955">_xlfn.TEXTSPLIT(R955, "/")</f>
        <v>film &amp; video</v>
      </c>
      <c r="T955" s="5" t="str">
        <v>science fiction</v>
      </c>
    </row>
    <row r="956" spans="1:20" ht="19.5" x14ac:dyDescent="0.4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 s="4">
        <f t="shared" si="56"/>
        <v>367.0985915492958</v>
      </c>
      <c r="K956">
        <v>1348290000</v>
      </c>
      <c r="L956" s="5">
        <f t="shared" si="57"/>
        <v>101.02325581395348</v>
      </c>
      <c r="M956">
        <v>1350363600</v>
      </c>
      <c r="N956" s="9">
        <f t="shared" si="58"/>
        <v>41174.208333333336</v>
      </c>
      <c r="O956" s="9">
        <f t="shared" si="59"/>
        <v>41198.208333333336</v>
      </c>
      <c r="P956" t="b">
        <v>0</v>
      </c>
      <c r="Q956" t="b">
        <v>0</v>
      </c>
      <c r="R956" t="s">
        <v>28</v>
      </c>
      <c r="S956" s="5" t="str" cm="1">
        <f t="array" ref="S956:T956">_xlfn.TEXTSPLIT(R956, "/")</f>
        <v>technology</v>
      </c>
      <c r="T956" s="5" t="str">
        <v>web</v>
      </c>
    </row>
    <row r="957" spans="1:20" ht="33.75" x14ac:dyDescent="0.4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 s="4">
        <f t="shared" si="56"/>
        <v>1109</v>
      </c>
      <c r="K957">
        <v>1353823200</v>
      </c>
      <c r="L957" s="5">
        <f t="shared" si="57"/>
        <v>97.037499999999994</v>
      </c>
      <c r="M957">
        <v>1353996000</v>
      </c>
      <c r="N957" s="9">
        <f t="shared" si="58"/>
        <v>41238.25</v>
      </c>
      <c r="O957" s="9">
        <f t="shared" si="59"/>
        <v>41240.25</v>
      </c>
      <c r="P957" t="b">
        <v>0</v>
      </c>
      <c r="Q957" t="b">
        <v>0</v>
      </c>
      <c r="R957" t="s">
        <v>33</v>
      </c>
      <c r="S957" s="5" t="str" cm="1">
        <f t="array" ref="S957:T957">_xlfn.TEXTSPLIT(R957, "/")</f>
        <v>theater</v>
      </c>
      <c r="T957" s="5" t="str">
        <v>plays</v>
      </c>
    </row>
    <row r="958" spans="1:20" ht="19.5" x14ac:dyDescent="0.4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 s="4">
        <f t="shared" si="56"/>
        <v>19.028784648187631</v>
      </c>
      <c r="K958">
        <v>1450764000</v>
      </c>
      <c r="L958" s="5">
        <f t="shared" si="57"/>
        <v>43.00963855421687</v>
      </c>
      <c r="M958">
        <v>1451109600</v>
      </c>
      <c r="N958" s="9">
        <f t="shared" si="58"/>
        <v>42360.25</v>
      </c>
      <c r="O958" s="9">
        <f t="shared" si="59"/>
        <v>42364.25</v>
      </c>
      <c r="P958" t="b">
        <v>0</v>
      </c>
      <c r="Q958" t="b">
        <v>0</v>
      </c>
      <c r="R958" t="s">
        <v>474</v>
      </c>
      <c r="S958" s="5" t="str" cm="1">
        <f t="array" ref="S958:T958">_xlfn.TEXTSPLIT(R958, "/")</f>
        <v>film &amp; video</v>
      </c>
      <c r="T958" s="5" t="str">
        <v>science fiction</v>
      </c>
    </row>
    <row r="959" spans="1:20" ht="19.5" x14ac:dyDescent="0.4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 s="4">
        <f t="shared" si="56"/>
        <v>126.87755102040816</v>
      </c>
      <c r="K959">
        <v>1329372000</v>
      </c>
      <c r="L959" s="5">
        <f t="shared" si="57"/>
        <v>94.916030534351151</v>
      </c>
      <c r="M959">
        <v>1329631200</v>
      </c>
      <c r="N959" s="9">
        <f t="shared" si="58"/>
        <v>40955.25</v>
      </c>
      <c r="O959" s="9">
        <f t="shared" si="59"/>
        <v>40958.25</v>
      </c>
      <c r="P959" t="b">
        <v>0</v>
      </c>
      <c r="Q959" t="b">
        <v>0</v>
      </c>
      <c r="R959" t="s">
        <v>33</v>
      </c>
      <c r="S959" s="5" t="str" cm="1">
        <f t="array" ref="S959:T959">_xlfn.TEXTSPLIT(R959, "/")</f>
        <v>theater</v>
      </c>
      <c r="T959" s="5" t="str">
        <v>plays</v>
      </c>
    </row>
    <row r="960" spans="1:20" ht="33.75" x14ac:dyDescent="0.4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 s="4">
        <f t="shared" si="56"/>
        <v>734.63636363636363</v>
      </c>
      <c r="K960">
        <v>1277096400</v>
      </c>
      <c r="L960" s="5">
        <f t="shared" si="57"/>
        <v>72.151785714285708</v>
      </c>
      <c r="M960">
        <v>1278997200</v>
      </c>
      <c r="N960" s="9">
        <f t="shared" si="58"/>
        <v>40350.208333333336</v>
      </c>
      <c r="O960" s="9">
        <f t="shared" si="59"/>
        <v>40372.208333333336</v>
      </c>
      <c r="P960" t="b">
        <v>0</v>
      </c>
      <c r="Q960" t="b">
        <v>0</v>
      </c>
      <c r="R960" t="s">
        <v>71</v>
      </c>
      <c r="S960" s="5" t="str" cm="1">
        <f t="array" ref="S960:T960">_xlfn.TEXTSPLIT(R960, "/")</f>
        <v>film &amp; video</v>
      </c>
      <c r="T960" s="5" t="str">
        <v>animation</v>
      </c>
    </row>
    <row r="961" spans="1:20" ht="19.5" x14ac:dyDescent="0.4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 s="4">
        <f t="shared" si="56"/>
        <v>4.5731034482758623</v>
      </c>
      <c r="K961">
        <v>1277701200</v>
      </c>
      <c r="L961" s="5">
        <f t="shared" si="57"/>
        <v>51.007692307692309</v>
      </c>
      <c r="M961">
        <v>1280120400</v>
      </c>
      <c r="N961" s="9">
        <f t="shared" si="58"/>
        <v>40357.208333333336</v>
      </c>
      <c r="O961" s="9">
        <f t="shared" si="59"/>
        <v>40385.208333333336</v>
      </c>
      <c r="P961" t="b">
        <v>0</v>
      </c>
      <c r="Q961" t="b">
        <v>0</v>
      </c>
      <c r="R961" t="s">
        <v>206</v>
      </c>
      <c r="S961" s="5" t="str" cm="1">
        <f t="array" ref="S961:T961">_xlfn.TEXTSPLIT(R961, "/")</f>
        <v>publishing</v>
      </c>
      <c r="T961" s="5" t="str">
        <v>translations</v>
      </c>
    </row>
    <row r="962" spans="1:20" ht="19.5" x14ac:dyDescent="0.4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 s="4">
        <f t="shared" si="56"/>
        <v>85.054545454545448</v>
      </c>
      <c r="K962">
        <v>1454911200</v>
      </c>
      <c r="L962" s="5">
        <f t="shared" si="57"/>
        <v>85.054545454545448</v>
      </c>
      <c r="M962">
        <v>1458104400</v>
      </c>
      <c r="N962" s="9">
        <f t="shared" si="58"/>
        <v>42408.25</v>
      </c>
      <c r="O962" s="9">
        <f t="shared" si="59"/>
        <v>42445.208333333328</v>
      </c>
      <c r="P962" t="b">
        <v>0</v>
      </c>
      <c r="Q962" t="b">
        <v>0</v>
      </c>
      <c r="R962" t="s">
        <v>28</v>
      </c>
      <c r="S962" s="5" t="str" cm="1">
        <f t="array" ref="S962:T962">_xlfn.TEXTSPLIT(R962, "/")</f>
        <v>technology</v>
      </c>
      <c r="T962" s="5" t="str">
        <v>web</v>
      </c>
    </row>
    <row r="963" spans="1:20" ht="19.5" x14ac:dyDescent="0.4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 s="4">
        <f t="shared" ref="J963:J1001" si="60">(E963/D963*100)</f>
        <v>119.29824561403508</v>
      </c>
      <c r="K963">
        <v>1297922400</v>
      </c>
      <c r="L963" s="5">
        <f t="shared" ref="L963:L1001" si="61">E963/G963</f>
        <v>43.87096774193548</v>
      </c>
      <c r="M963">
        <v>1298268000</v>
      </c>
      <c r="N963" s="9">
        <f t="shared" ref="N963:N1001" si="62">(((K963/60)/60)/24)+DATE(1970,1,1)</f>
        <v>40591.25</v>
      </c>
      <c r="O963" s="9">
        <f t="shared" ref="O963:O1001" si="63">(((M963/60)/60)/24)+DATE(1970,1,1)</f>
        <v>40595.25</v>
      </c>
      <c r="P963" t="b">
        <v>0</v>
      </c>
      <c r="Q963" t="b">
        <v>0</v>
      </c>
      <c r="R963" t="s">
        <v>206</v>
      </c>
      <c r="S963" s="5" t="str" cm="1">
        <f t="array" ref="S963:T963">_xlfn.TEXTSPLIT(R963, "/")</f>
        <v>publishing</v>
      </c>
      <c r="T963" s="5" t="str">
        <v>translations</v>
      </c>
    </row>
    <row r="964" spans="1:20" ht="19.5" x14ac:dyDescent="0.4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 s="4">
        <f t="shared" si="60"/>
        <v>296.02777777777777</v>
      </c>
      <c r="K964">
        <v>1384408800</v>
      </c>
      <c r="L964" s="5">
        <f t="shared" si="61"/>
        <v>40.063909774436091</v>
      </c>
      <c r="M964">
        <v>1386223200</v>
      </c>
      <c r="N964" s="9">
        <f t="shared" si="62"/>
        <v>41592.25</v>
      </c>
      <c r="O964" s="9">
        <f t="shared" si="63"/>
        <v>41613.25</v>
      </c>
      <c r="P964" t="b">
        <v>0</v>
      </c>
      <c r="Q964" t="b">
        <v>0</v>
      </c>
      <c r="R964" t="s">
        <v>17</v>
      </c>
      <c r="S964" s="5" t="str" cm="1">
        <f t="array" ref="S964:T964">_xlfn.TEXTSPLIT(R964, "/")</f>
        <v>food</v>
      </c>
      <c r="T964" s="5" t="str">
        <v>food trucks</v>
      </c>
    </row>
    <row r="965" spans="1:20" ht="19.5" x14ac:dyDescent="0.4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 s="4">
        <f t="shared" si="60"/>
        <v>84.694915254237287</v>
      </c>
      <c r="K965">
        <v>1299304800</v>
      </c>
      <c r="L965" s="5">
        <f t="shared" si="61"/>
        <v>43.833333333333336</v>
      </c>
      <c r="M965">
        <v>1299823200</v>
      </c>
      <c r="N965" s="9">
        <f t="shared" si="62"/>
        <v>40607.25</v>
      </c>
      <c r="O965" s="9">
        <f t="shared" si="63"/>
        <v>40613.25</v>
      </c>
      <c r="P965" t="b">
        <v>0</v>
      </c>
      <c r="Q965" t="b">
        <v>1</v>
      </c>
      <c r="R965" t="s">
        <v>122</v>
      </c>
      <c r="S965" s="5" t="str" cm="1">
        <f t="array" ref="S965:T965">_xlfn.TEXTSPLIT(R965, "/")</f>
        <v>photography</v>
      </c>
      <c r="T965" s="5" t="str">
        <v>photography books</v>
      </c>
    </row>
    <row r="966" spans="1:20" ht="19.5" x14ac:dyDescent="0.4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 s="4">
        <f t="shared" si="60"/>
        <v>355.7837837837838</v>
      </c>
      <c r="K966">
        <v>1431320400</v>
      </c>
      <c r="L966" s="5">
        <f t="shared" si="61"/>
        <v>84.92903225806451</v>
      </c>
      <c r="M966">
        <v>1431752400</v>
      </c>
      <c r="N966" s="9">
        <f t="shared" si="62"/>
        <v>42135.208333333328</v>
      </c>
      <c r="O966" s="9">
        <f t="shared" si="63"/>
        <v>42140.208333333328</v>
      </c>
      <c r="P966" t="b">
        <v>0</v>
      </c>
      <c r="Q966" t="b">
        <v>0</v>
      </c>
      <c r="R966" t="s">
        <v>33</v>
      </c>
      <c r="S966" s="5" t="str" cm="1">
        <f t="array" ref="S966:T966">_xlfn.TEXTSPLIT(R966, "/")</f>
        <v>theater</v>
      </c>
      <c r="T966" s="5" t="str">
        <v>plays</v>
      </c>
    </row>
    <row r="967" spans="1:20" ht="19.5" x14ac:dyDescent="0.4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 s="4">
        <f t="shared" si="60"/>
        <v>386.40909090909093</v>
      </c>
      <c r="K967">
        <v>1264399200</v>
      </c>
      <c r="L967" s="5">
        <f t="shared" si="61"/>
        <v>41.067632850241544</v>
      </c>
      <c r="M967">
        <v>1267855200</v>
      </c>
      <c r="N967" s="9">
        <f t="shared" si="62"/>
        <v>40203.25</v>
      </c>
      <c r="O967" s="9">
        <f t="shared" si="63"/>
        <v>40243.25</v>
      </c>
      <c r="P967" t="b">
        <v>0</v>
      </c>
      <c r="Q967" t="b">
        <v>0</v>
      </c>
      <c r="R967" t="s">
        <v>23</v>
      </c>
      <c r="S967" s="5" t="str" cm="1">
        <f t="array" ref="S967:T967">_xlfn.TEXTSPLIT(R967, "/")</f>
        <v>music</v>
      </c>
      <c r="T967" s="5" t="str">
        <v>rock</v>
      </c>
    </row>
    <row r="968" spans="1:20" ht="19.5" x14ac:dyDescent="0.4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 s="4">
        <f t="shared" si="60"/>
        <v>792.23529411764707</v>
      </c>
      <c r="K968">
        <v>1497502800</v>
      </c>
      <c r="L968" s="5">
        <f t="shared" si="61"/>
        <v>54.971428571428568</v>
      </c>
      <c r="M968">
        <v>1497675600</v>
      </c>
      <c r="N968" s="9">
        <f t="shared" si="62"/>
        <v>42901.208333333328</v>
      </c>
      <c r="O968" s="9">
        <f t="shared" si="63"/>
        <v>42903.208333333328</v>
      </c>
      <c r="P968" t="b">
        <v>0</v>
      </c>
      <c r="Q968" t="b">
        <v>0</v>
      </c>
      <c r="R968" t="s">
        <v>33</v>
      </c>
      <c r="S968" s="5" t="str" cm="1">
        <f t="array" ref="S968:T968">_xlfn.TEXTSPLIT(R968, "/")</f>
        <v>theater</v>
      </c>
      <c r="T968" s="5" t="str">
        <v>plays</v>
      </c>
    </row>
    <row r="969" spans="1:20" ht="19.5" x14ac:dyDescent="0.4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 s="4">
        <f t="shared" si="60"/>
        <v>137.03393665158373</v>
      </c>
      <c r="K969">
        <v>1333688400</v>
      </c>
      <c r="L969" s="5">
        <f t="shared" si="61"/>
        <v>77.010807374443743</v>
      </c>
      <c r="M969">
        <v>1336885200</v>
      </c>
      <c r="N969" s="9">
        <f t="shared" si="62"/>
        <v>41005.208333333336</v>
      </c>
      <c r="O969" s="9">
        <f t="shared" si="63"/>
        <v>41042.208333333336</v>
      </c>
      <c r="P969" t="b">
        <v>0</v>
      </c>
      <c r="Q969" t="b">
        <v>0</v>
      </c>
      <c r="R969" t="s">
        <v>319</v>
      </c>
      <c r="S969" s="5" t="str" cm="1">
        <f t="array" ref="S969:T969">_xlfn.TEXTSPLIT(R969, "/")</f>
        <v>music</v>
      </c>
      <c r="T969" s="5" t="str">
        <v>world music</v>
      </c>
    </row>
    <row r="970" spans="1:20" ht="33.75" x14ac:dyDescent="0.4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 s="4">
        <f t="shared" si="60"/>
        <v>338.20833333333337</v>
      </c>
      <c r="K970">
        <v>1293861600</v>
      </c>
      <c r="L970" s="5">
        <f t="shared" si="61"/>
        <v>71.201754385964918</v>
      </c>
      <c r="M970">
        <v>1295157600</v>
      </c>
      <c r="N970" s="9">
        <f t="shared" si="62"/>
        <v>40544.25</v>
      </c>
      <c r="O970" s="9">
        <f t="shared" si="63"/>
        <v>40559.25</v>
      </c>
      <c r="P970" t="b">
        <v>0</v>
      </c>
      <c r="Q970" t="b">
        <v>0</v>
      </c>
      <c r="R970" t="s">
        <v>17</v>
      </c>
      <c r="S970" s="5" t="str" cm="1">
        <f t="array" ref="S970:T970">_xlfn.TEXTSPLIT(R970, "/")</f>
        <v>food</v>
      </c>
      <c r="T970" s="5" t="str">
        <v>food trucks</v>
      </c>
    </row>
    <row r="971" spans="1:20" ht="19.5" x14ac:dyDescent="0.4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 s="4">
        <f t="shared" si="60"/>
        <v>108.22784810126582</v>
      </c>
      <c r="K971">
        <v>1576994400</v>
      </c>
      <c r="L971" s="5">
        <f t="shared" si="61"/>
        <v>91.935483870967744</v>
      </c>
      <c r="M971">
        <v>1577599200</v>
      </c>
      <c r="N971" s="9">
        <f t="shared" si="62"/>
        <v>43821.25</v>
      </c>
      <c r="O971" s="9">
        <f t="shared" si="63"/>
        <v>43828.25</v>
      </c>
      <c r="P971" t="b">
        <v>0</v>
      </c>
      <c r="Q971" t="b">
        <v>0</v>
      </c>
      <c r="R971" t="s">
        <v>33</v>
      </c>
      <c r="S971" s="5" t="str" cm="1">
        <f t="array" ref="S971:T971">_xlfn.TEXTSPLIT(R971, "/")</f>
        <v>theater</v>
      </c>
      <c r="T971" s="5" t="str">
        <v>plays</v>
      </c>
    </row>
    <row r="972" spans="1:20" ht="33.75" x14ac:dyDescent="0.4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 s="4">
        <f t="shared" si="60"/>
        <v>60.757639620653315</v>
      </c>
      <c r="K972">
        <v>1304917200</v>
      </c>
      <c r="L972" s="5">
        <f t="shared" si="61"/>
        <v>97.069023569023571</v>
      </c>
      <c r="M972">
        <v>1305003600</v>
      </c>
      <c r="N972" s="9">
        <f t="shared" si="62"/>
        <v>40672.208333333336</v>
      </c>
      <c r="O972" s="9">
        <f t="shared" si="63"/>
        <v>40673.208333333336</v>
      </c>
      <c r="P972" t="b">
        <v>0</v>
      </c>
      <c r="Q972" t="b">
        <v>0</v>
      </c>
      <c r="R972" t="s">
        <v>33</v>
      </c>
      <c r="S972" s="5" t="str" cm="1">
        <f t="array" ref="S972:T972">_xlfn.TEXTSPLIT(R972, "/")</f>
        <v>theater</v>
      </c>
      <c r="T972" s="5" t="str">
        <v>plays</v>
      </c>
    </row>
    <row r="973" spans="1:20" ht="19.5" x14ac:dyDescent="0.4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 s="4">
        <f t="shared" si="60"/>
        <v>27.725490196078432</v>
      </c>
      <c r="K973">
        <v>1381208400</v>
      </c>
      <c r="L973" s="5">
        <f t="shared" si="61"/>
        <v>58.916666666666664</v>
      </c>
      <c r="M973">
        <v>1381726800</v>
      </c>
      <c r="N973" s="9">
        <f t="shared" si="62"/>
        <v>41555.208333333336</v>
      </c>
      <c r="O973" s="9">
        <f t="shared" si="63"/>
        <v>41561.208333333336</v>
      </c>
      <c r="P973" t="b">
        <v>0</v>
      </c>
      <c r="Q973" t="b">
        <v>0</v>
      </c>
      <c r="R973" t="s">
        <v>269</v>
      </c>
      <c r="S973" s="5" t="str" cm="1">
        <f t="array" ref="S973:T973">_xlfn.TEXTSPLIT(R973, "/")</f>
        <v>film &amp; video</v>
      </c>
      <c r="T973" s="5" t="str">
        <v>television</v>
      </c>
    </row>
    <row r="974" spans="1:20" ht="33.75" x14ac:dyDescent="0.4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 s="4">
        <f t="shared" si="60"/>
        <v>228.3934426229508</v>
      </c>
      <c r="K974">
        <v>1401685200</v>
      </c>
      <c r="L974" s="5">
        <f t="shared" si="61"/>
        <v>58.015466983938133</v>
      </c>
      <c r="M974">
        <v>1402462800</v>
      </c>
      <c r="N974" s="9">
        <f t="shared" si="62"/>
        <v>41792.208333333336</v>
      </c>
      <c r="O974" s="9">
        <f t="shared" si="63"/>
        <v>41801.208333333336</v>
      </c>
      <c r="P974" t="b">
        <v>0</v>
      </c>
      <c r="Q974" t="b">
        <v>1</v>
      </c>
      <c r="R974" t="s">
        <v>28</v>
      </c>
      <c r="S974" s="5" t="str" cm="1">
        <f t="array" ref="S974:T974">_xlfn.TEXTSPLIT(R974, "/")</f>
        <v>technology</v>
      </c>
      <c r="T974" s="5" t="str">
        <v>web</v>
      </c>
    </row>
    <row r="975" spans="1:20" ht="19.5" x14ac:dyDescent="0.4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 s="4">
        <f t="shared" si="60"/>
        <v>21.615194054500414</v>
      </c>
      <c r="K975">
        <v>1291960800</v>
      </c>
      <c r="L975" s="5">
        <f t="shared" si="61"/>
        <v>103.87301587301587</v>
      </c>
      <c r="M975">
        <v>1292133600</v>
      </c>
      <c r="N975" s="9">
        <f t="shared" si="62"/>
        <v>40522.25</v>
      </c>
      <c r="O975" s="9">
        <f t="shared" si="63"/>
        <v>40524.25</v>
      </c>
      <c r="P975" t="b">
        <v>0</v>
      </c>
      <c r="Q975" t="b">
        <v>1</v>
      </c>
      <c r="R975" t="s">
        <v>33</v>
      </c>
      <c r="S975" s="5" t="str" cm="1">
        <f t="array" ref="S975:T975">_xlfn.TEXTSPLIT(R975, "/")</f>
        <v>theater</v>
      </c>
      <c r="T975" s="5" t="str">
        <v>plays</v>
      </c>
    </row>
    <row r="976" spans="1:20" ht="19.5" x14ac:dyDescent="0.4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 s="4">
        <f t="shared" si="60"/>
        <v>373.875</v>
      </c>
      <c r="K976">
        <v>1368853200</v>
      </c>
      <c r="L976" s="5">
        <f t="shared" si="61"/>
        <v>93.46875</v>
      </c>
      <c r="M976">
        <v>1368939600</v>
      </c>
      <c r="N976" s="9">
        <f t="shared" si="62"/>
        <v>41412.208333333336</v>
      </c>
      <c r="O976" s="9">
        <f t="shared" si="63"/>
        <v>41413.208333333336</v>
      </c>
      <c r="P976" t="b">
        <v>0</v>
      </c>
      <c r="Q976" t="b">
        <v>0</v>
      </c>
      <c r="R976" t="s">
        <v>60</v>
      </c>
      <c r="S976" s="5" t="str" cm="1">
        <f t="array" ref="S976:T976">_xlfn.TEXTSPLIT(R976, "/")</f>
        <v>music</v>
      </c>
      <c r="T976" s="5" t="str">
        <v>indie rock</v>
      </c>
    </row>
    <row r="977" spans="1:20" ht="19.5" x14ac:dyDescent="0.4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 s="4">
        <f t="shared" si="60"/>
        <v>154.92592592592592</v>
      </c>
      <c r="K977">
        <v>1448776800</v>
      </c>
      <c r="L977" s="5">
        <f t="shared" si="61"/>
        <v>61.970370370370368</v>
      </c>
      <c r="M977">
        <v>1452146400</v>
      </c>
      <c r="N977" s="9">
        <f t="shared" si="62"/>
        <v>42337.25</v>
      </c>
      <c r="O977" s="9">
        <f t="shared" si="63"/>
        <v>42376.25</v>
      </c>
      <c r="P977" t="b">
        <v>0</v>
      </c>
      <c r="Q977" t="b">
        <v>1</v>
      </c>
      <c r="R977" t="s">
        <v>33</v>
      </c>
      <c r="S977" s="5" t="str" cm="1">
        <f t="array" ref="S977:T977">_xlfn.TEXTSPLIT(R977, "/")</f>
        <v>theater</v>
      </c>
      <c r="T977" s="5" t="str">
        <v>plays</v>
      </c>
    </row>
    <row r="978" spans="1:20" ht="33.75" x14ac:dyDescent="0.4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 s="4">
        <f t="shared" si="60"/>
        <v>322.14999999999998</v>
      </c>
      <c r="K978">
        <v>1296194400</v>
      </c>
      <c r="L978" s="5">
        <f t="shared" si="61"/>
        <v>92.042857142857144</v>
      </c>
      <c r="M978">
        <v>1296712800</v>
      </c>
      <c r="N978" s="9">
        <f t="shared" si="62"/>
        <v>40571.25</v>
      </c>
      <c r="O978" s="9">
        <f t="shared" si="63"/>
        <v>40577.25</v>
      </c>
      <c r="P978" t="b">
        <v>0</v>
      </c>
      <c r="Q978" t="b">
        <v>1</v>
      </c>
      <c r="R978" t="s">
        <v>33</v>
      </c>
      <c r="S978" s="5" t="str" cm="1">
        <f t="array" ref="S978:T978">_xlfn.TEXTSPLIT(R978, "/")</f>
        <v>theater</v>
      </c>
      <c r="T978" s="5" t="str">
        <v>plays</v>
      </c>
    </row>
    <row r="979" spans="1:20" ht="19.5" x14ac:dyDescent="0.4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 s="4">
        <f t="shared" si="60"/>
        <v>73.957142857142856</v>
      </c>
      <c r="K979">
        <v>1517983200</v>
      </c>
      <c r="L979" s="5">
        <f t="shared" si="61"/>
        <v>77.268656716417908</v>
      </c>
      <c r="M979">
        <v>1520748000</v>
      </c>
      <c r="N979" s="9">
        <f t="shared" si="62"/>
        <v>43138.25</v>
      </c>
      <c r="O979" s="9">
        <f t="shared" si="63"/>
        <v>43170.25</v>
      </c>
      <c r="P979" t="b">
        <v>0</v>
      </c>
      <c r="Q979" t="b">
        <v>0</v>
      </c>
      <c r="R979" t="s">
        <v>17</v>
      </c>
      <c r="S979" s="5" t="str" cm="1">
        <f t="array" ref="S979:T979">_xlfn.TEXTSPLIT(R979, "/")</f>
        <v>food</v>
      </c>
      <c r="T979" s="5" t="str">
        <v>food trucks</v>
      </c>
    </row>
    <row r="980" spans="1:20" ht="19.5" x14ac:dyDescent="0.4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 s="4">
        <f t="shared" si="60"/>
        <v>864.1</v>
      </c>
      <c r="K980">
        <v>1478930400</v>
      </c>
      <c r="L980" s="5">
        <f t="shared" si="61"/>
        <v>93.923913043478265</v>
      </c>
      <c r="M980">
        <v>1480831200</v>
      </c>
      <c r="N980" s="9">
        <f t="shared" si="62"/>
        <v>42686.25</v>
      </c>
      <c r="O980" s="9">
        <f t="shared" si="63"/>
        <v>42708.25</v>
      </c>
      <c r="P980" t="b">
        <v>0</v>
      </c>
      <c r="Q980" t="b">
        <v>0</v>
      </c>
      <c r="R980" t="s">
        <v>89</v>
      </c>
      <c r="S980" s="5" t="str" cm="1">
        <f t="array" ref="S980:T980">_xlfn.TEXTSPLIT(R980, "/")</f>
        <v>games</v>
      </c>
      <c r="T980" s="5" t="str">
        <v>video games</v>
      </c>
    </row>
    <row r="981" spans="1:20" ht="19.5" x14ac:dyDescent="0.4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 s="4">
        <f t="shared" si="60"/>
        <v>143.26245847176079</v>
      </c>
      <c r="K981">
        <v>1426395600</v>
      </c>
      <c r="L981" s="5">
        <f t="shared" si="61"/>
        <v>84.969458128078813</v>
      </c>
      <c r="M981">
        <v>1426914000</v>
      </c>
      <c r="N981" s="9">
        <f t="shared" si="62"/>
        <v>42078.208333333328</v>
      </c>
      <c r="O981" s="9">
        <f t="shared" si="63"/>
        <v>42084.208333333328</v>
      </c>
      <c r="P981" t="b">
        <v>0</v>
      </c>
      <c r="Q981" t="b">
        <v>0</v>
      </c>
      <c r="R981" t="s">
        <v>33</v>
      </c>
      <c r="S981" s="5" t="str" cm="1">
        <f t="array" ref="S981:T981">_xlfn.TEXTSPLIT(R981, "/")</f>
        <v>theater</v>
      </c>
      <c r="T981" s="5" t="str">
        <v>plays</v>
      </c>
    </row>
    <row r="982" spans="1:20" ht="19.5" x14ac:dyDescent="0.4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 s="4">
        <f t="shared" si="60"/>
        <v>40.281762295081968</v>
      </c>
      <c r="K982">
        <v>1446181200</v>
      </c>
      <c r="L982" s="5">
        <f t="shared" si="61"/>
        <v>105.97035040431267</v>
      </c>
      <c r="M982">
        <v>1446616800</v>
      </c>
      <c r="N982" s="9">
        <f t="shared" si="62"/>
        <v>42307.208333333328</v>
      </c>
      <c r="O982" s="9">
        <f t="shared" si="63"/>
        <v>42312.25</v>
      </c>
      <c r="P982" t="b">
        <v>1</v>
      </c>
      <c r="Q982" t="b">
        <v>0</v>
      </c>
      <c r="R982" t="s">
        <v>68</v>
      </c>
      <c r="S982" s="5" t="str" cm="1">
        <f t="array" ref="S982:T982">_xlfn.TEXTSPLIT(R982, "/")</f>
        <v>publishing</v>
      </c>
      <c r="T982" s="5" t="str">
        <v>nonfiction</v>
      </c>
    </row>
    <row r="983" spans="1:20" ht="19.5" x14ac:dyDescent="0.4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 s="4">
        <f t="shared" si="60"/>
        <v>178.22388059701493</v>
      </c>
      <c r="K983">
        <v>1514181600</v>
      </c>
      <c r="L983" s="5">
        <f t="shared" si="61"/>
        <v>36.969040247678016</v>
      </c>
      <c r="M983">
        <v>1517032800</v>
      </c>
      <c r="N983" s="9">
        <f t="shared" si="62"/>
        <v>43094.25</v>
      </c>
      <c r="O983" s="9">
        <f t="shared" si="63"/>
        <v>43127.25</v>
      </c>
      <c r="P983" t="b">
        <v>0</v>
      </c>
      <c r="Q983" t="b">
        <v>0</v>
      </c>
      <c r="R983" t="s">
        <v>28</v>
      </c>
      <c r="S983" s="5" t="str" cm="1">
        <f t="array" ref="S983:T983">_xlfn.TEXTSPLIT(R983, "/")</f>
        <v>technology</v>
      </c>
      <c r="T983" s="5" t="str">
        <v>web</v>
      </c>
    </row>
    <row r="984" spans="1:20" ht="19.5" x14ac:dyDescent="0.4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 s="4">
        <f t="shared" si="60"/>
        <v>84.930555555555557</v>
      </c>
      <c r="K984">
        <v>1311051600</v>
      </c>
      <c r="L984" s="5">
        <f t="shared" si="61"/>
        <v>81.533333333333331</v>
      </c>
      <c r="M984">
        <v>1311224400</v>
      </c>
      <c r="N984" s="9">
        <f t="shared" si="62"/>
        <v>40743.208333333336</v>
      </c>
      <c r="O984" s="9">
        <f t="shared" si="63"/>
        <v>40745.208333333336</v>
      </c>
      <c r="P984" t="b">
        <v>0</v>
      </c>
      <c r="Q984" t="b">
        <v>1</v>
      </c>
      <c r="R984" t="s">
        <v>42</v>
      </c>
      <c r="S984" s="5" t="str" cm="1">
        <f t="array" ref="S984:T984">_xlfn.TEXTSPLIT(R984, "/")</f>
        <v>film &amp; video</v>
      </c>
      <c r="T984" s="5" t="str">
        <v>documentary</v>
      </c>
    </row>
    <row r="985" spans="1:20" ht="19.5" x14ac:dyDescent="0.4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 s="4">
        <f t="shared" si="60"/>
        <v>145.93648334624322</v>
      </c>
      <c r="K985">
        <v>1564894800</v>
      </c>
      <c r="L985" s="5">
        <f t="shared" si="61"/>
        <v>80.999140154772135</v>
      </c>
      <c r="M985">
        <v>1566190800</v>
      </c>
      <c r="N985" s="9">
        <f t="shared" si="62"/>
        <v>43681.208333333328</v>
      </c>
      <c r="O985" s="9">
        <f t="shared" si="63"/>
        <v>43696.208333333328</v>
      </c>
      <c r="P985" t="b">
        <v>0</v>
      </c>
      <c r="Q985" t="b">
        <v>0</v>
      </c>
      <c r="R985" t="s">
        <v>42</v>
      </c>
      <c r="S985" s="5" t="str" cm="1">
        <f t="array" ref="S985:T985">_xlfn.TEXTSPLIT(R985, "/")</f>
        <v>film &amp; video</v>
      </c>
      <c r="T985" s="5" t="str">
        <v>documentary</v>
      </c>
    </row>
    <row r="986" spans="1:20" ht="33.75" x14ac:dyDescent="0.4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 s="4">
        <f t="shared" si="60"/>
        <v>152.46153846153848</v>
      </c>
      <c r="K986">
        <v>1567918800</v>
      </c>
      <c r="L986" s="5">
        <f t="shared" si="61"/>
        <v>26.010498687664043</v>
      </c>
      <c r="M986">
        <v>1570165200</v>
      </c>
      <c r="N986" s="9">
        <f t="shared" si="62"/>
        <v>43716.208333333328</v>
      </c>
      <c r="O986" s="9">
        <f t="shared" si="63"/>
        <v>43742.208333333328</v>
      </c>
      <c r="P986" t="b">
        <v>0</v>
      </c>
      <c r="Q986" t="b">
        <v>0</v>
      </c>
      <c r="R986" t="s">
        <v>33</v>
      </c>
      <c r="S986" s="5" t="str" cm="1">
        <f t="array" ref="S986:T986">_xlfn.TEXTSPLIT(R986, "/")</f>
        <v>theater</v>
      </c>
      <c r="T986" s="5" t="str">
        <v>plays</v>
      </c>
    </row>
    <row r="987" spans="1:20" ht="19.5" x14ac:dyDescent="0.4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 s="4">
        <f t="shared" si="60"/>
        <v>67.129542790152414</v>
      </c>
      <c r="K987">
        <v>1386309600</v>
      </c>
      <c r="L987" s="5">
        <f t="shared" si="61"/>
        <v>25.998410896708286</v>
      </c>
      <c r="M987">
        <v>1388556000</v>
      </c>
      <c r="N987" s="9">
        <f t="shared" si="62"/>
        <v>41614.25</v>
      </c>
      <c r="O987" s="9">
        <f t="shared" si="63"/>
        <v>41640.25</v>
      </c>
      <c r="P987" t="b">
        <v>0</v>
      </c>
      <c r="Q987" t="b">
        <v>1</v>
      </c>
      <c r="R987" t="s">
        <v>23</v>
      </c>
      <c r="S987" s="5" t="str" cm="1">
        <f t="array" ref="S987:T987">_xlfn.TEXTSPLIT(R987, "/")</f>
        <v>music</v>
      </c>
      <c r="T987" s="5" t="str">
        <v>rock</v>
      </c>
    </row>
    <row r="988" spans="1:20" ht="19.5" x14ac:dyDescent="0.4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 s="4">
        <f t="shared" si="60"/>
        <v>40.307692307692307</v>
      </c>
      <c r="K988">
        <v>1301979600</v>
      </c>
      <c r="L988" s="5">
        <f t="shared" si="61"/>
        <v>34.173913043478258</v>
      </c>
      <c r="M988">
        <v>1303189200</v>
      </c>
      <c r="N988" s="9">
        <f t="shared" si="62"/>
        <v>40638.208333333336</v>
      </c>
      <c r="O988" s="9">
        <f t="shared" si="63"/>
        <v>40652.208333333336</v>
      </c>
      <c r="P988" t="b">
        <v>0</v>
      </c>
      <c r="Q988" t="b">
        <v>0</v>
      </c>
      <c r="R988" t="s">
        <v>23</v>
      </c>
      <c r="S988" s="5" t="str" cm="1">
        <f t="array" ref="S988:T988">_xlfn.TEXTSPLIT(R988, "/")</f>
        <v>music</v>
      </c>
      <c r="T988" s="5" t="str">
        <v>rock</v>
      </c>
    </row>
    <row r="989" spans="1:20" ht="19.5" x14ac:dyDescent="0.4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 s="4">
        <f t="shared" si="60"/>
        <v>216.79032258064518</v>
      </c>
      <c r="K989">
        <v>1493269200</v>
      </c>
      <c r="L989" s="5">
        <f t="shared" si="61"/>
        <v>28.002083333333335</v>
      </c>
      <c r="M989">
        <v>1494478800</v>
      </c>
      <c r="N989" s="9">
        <f t="shared" si="62"/>
        <v>42852.208333333328</v>
      </c>
      <c r="O989" s="9">
        <f t="shared" si="63"/>
        <v>42866.208333333328</v>
      </c>
      <c r="P989" t="b">
        <v>0</v>
      </c>
      <c r="Q989" t="b">
        <v>0</v>
      </c>
      <c r="R989" t="s">
        <v>42</v>
      </c>
      <c r="S989" s="5" t="str" cm="1">
        <f t="array" ref="S989:T989">_xlfn.TEXTSPLIT(R989, "/")</f>
        <v>film &amp; video</v>
      </c>
      <c r="T989" s="5" t="str">
        <v>documentary</v>
      </c>
    </row>
    <row r="990" spans="1:20" ht="19.5" x14ac:dyDescent="0.4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 s="4">
        <f t="shared" si="60"/>
        <v>52.117021276595743</v>
      </c>
      <c r="K990">
        <v>1478930400</v>
      </c>
      <c r="L990" s="5">
        <f t="shared" si="61"/>
        <v>76.546875</v>
      </c>
      <c r="M990">
        <v>1480744800</v>
      </c>
      <c r="N990" s="9">
        <f t="shared" si="62"/>
        <v>42686.25</v>
      </c>
      <c r="O990" s="9">
        <f t="shared" si="63"/>
        <v>42707.25</v>
      </c>
      <c r="P990" t="b">
        <v>0</v>
      </c>
      <c r="Q990" t="b">
        <v>0</v>
      </c>
      <c r="R990" t="s">
        <v>133</v>
      </c>
      <c r="S990" s="5" t="str" cm="1">
        <f t="array" ref="S990:T990">_xlfn.TEXTSPLIT(R990, "/")</f>
        <v>publishing</v>
      </c>
      <c r="T990" s="5" t="str">
        <v>radio &amp; podcasts</v>
      </c>
    </row>
    <row r="991" spans="1:20" ht="19.5" x14ac:dyDescent="0.4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 s="4">
        <f t="shared" si="60"/>
        <v>499.58333333333337</v>
      </c>
      <c r="K991">
        <v>1555390800</v>
      </c>
      <c r="L991" s="5">
        <f t="shared" si="61"/>
        <v>53.053097345132741</v>
      </c>
      <c r="M991">
        <v>1555822800</v>
      </c>
      <c r="N991" s="9">
        <f t="shared" si="62"/>
        <v>43571.208333333328</v>
      </c>
      <c r="O991" s="9">
        <f t="shared" si="63"/>
        <v>43576.208333333328</v>
      </c>
      <c r="P991" t="b">
        <v>0</v>
      </c>
      <c r="Q991" t="b">
        <v>0</v>
      </c>
      <c r="R991" t="s">
        <v>206</v>
      </c>
      <c r="S991" s="5" t="str" cm="1">
        <f t="array" ref="S991:T991">_xlfn.TEXTSPLIT(R991, "/")</f>
        <v>publishing</v>
      </c>
      <c r="T991" s="5" t="str">
        <v>translations</v>
      </c>
    </row>
    <row r="992" spans="1:20" ht="19.5" x14ac:dyDescent="0.4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 s="4">
        <f t="shared" si="60"/>
        <v>87.679487179487182</v>
      </c>
      <c r="K992">
        <v>1456984800</v>
      </c>
      <c r="L992" s="5">
        <f t="shared" si="61"/>
        <v>106.859375</v>
      </c>
      <c r="M992">
        <v>1458882000</v>
      </c>
      <c r="N992" s="9">
        <f t="shared" si="62"/>
        <v>42432.25</v>
      </c>
      <c r="O992" s="9">
        <f t="shared" si="63"/>
        <v>42454.208333333328</v>
      </c>
      <c r="P992" t="b">
        <v>0</v>
      </c>
      <c r="Q992" t="b">
        <v>1</v>
      </c>
      <c r="R992" t="s">
        <v>53</v>
      </c>
      <c r="S992" s="5" t="str" cm="1">
        <f t="array" ref="S992:T992">_xlfn.TEXTSPLIT(R992, "/")</f>
        <v>film &amp; video</v>
      </c>
      <c r="T992" s="5" t="str">
        <v>drama</v>
      </c>
    </row>
    <row r="993" spans="1:20" ht="19.5" x14ac:dyDescent="0.4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 s="4">
        <f t="shared" si="60"/>
        <v>113.17346938775511</v>
      </c>
      <c r="K993">
        <v>1411621200</v>
      </c>
      <c r="L993" s="5">
        <f t="shared" si="61"/>
        <v>46.020746887966808</v>
      </c>
      <c r="M993">
        <v>1411966800</v>
      </c>
      <c r="N993" s="9">
        <f t="shared" si="62"/>
        <v>41907.208333333336</v>
      </c>
      <c r="O993" s="9">
        <f t="shared" si="63"/>
        <v>41911.208333333336</v>
      </c>
      <c r="P993" t="b">
        <v>0</v>
      </c>
      <c r="Q993" t="b">
        <v>1</v>
      </c>
      <c r="R993" t="s">
        <v>23</v>
      </c>
      <c r="S993" s="5" t="str" cm="1">
        <f t="array" ref="S993:T993">_xlfn.TEXTSPLIT(R993, "/")</f>
        <v>music</v>
      </c>
      <c r="T993" s="5" t="str">
        <v>rock</v>
      </c>
    </row>
    <row r="994" spans="1:20" ht="19.5" x14ac:dyDescent="0.4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 s="4">
        <f t="shared" si="60"/>
        <v>426.54838709677421</v>
      </c>
      <c r="K994">
        <v>1525669200</v>
      </c>
      <c r="L994" s="5">
        <f t="shared" si="61"/>
        <v>100.17424242424242</v>
      </c>
      <c r="M994">
        <v>1526878800</v>
      </c>
      <c r="N994" s="9">
        <f t="shared" si="62"/>
        <v>43227.208333333328</v>
      </c>
      <c r="O994" s="9">
        <f t="shared" si="63"/>
        <v>43241.208333333328</v>
      </c>
      <c r="P994" t="b">
        <v>0</v>
      </c>
      <c r="Q994" t="b">
        <v>1</v>
      </c>
      <c r="R994" t="s">
        <v>53</v>
      </c>
      <c r="S994" s="5" t="str" cm="1">
        <f t="array" ref="S994:T994">_xlfn.TEXTSPLIT(R994, "/")</f>
        <v>film &amp; video</v>
      </c>
      <c r="T994" s="5" t="str">
        <v>drama</v>
      </c>
    </row>
    <row r="995" spans="1:20" ht="19.5" x14ac:dyDescent="0.4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 s="4">
        <f t="shared" si="60"/>
        <v>77.632653061224488</v>
      </c>
      <c r="K995">
        <v>1450936800</v>
      </c>
      <c r="L995" s="5">
        <f t="shared" si="61"/>
        <v>101.44</v>
      </c>
      <c r="M995">
        <v>1452405600</v>
      </c>
      <c r="N995" s="9">
        <f t="shared" si="62"/>
        <v>42362.25</v>
      </c>
      <c r="O995" s="9">
        <f t="shared" si="63"/>
        <v>42379.25</v>
      </c>
      <c r="P995" t="b">
        <v>0</v>
      </c>
      <c r="Q995" t="b">
        <v>1</v>
      </c>
      <c r="R995" t="s">
        <v>122</v>
      </c>
      <c r="S995" s="5" t="str" cm="1">
        <f t="array" ref="S995:T995">_xlfn.TEXTSPLIT(R995, "/")</f>
        <v>photography</v>
      </c>
      <c r="T995" s="5" t="str">
        <v>photography books</v>
      </c>
    </row>
    <row r="996" spans="1:20" ht="19.5" x14ac:dyDescent="0.4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 s="4">
        <f t="shared" si="60"/>
        <v>52.496810772501767</v>
      </c>
      <c r="K996">
        <v>1413522000</v>
      </c>
      <c r="L996" s="5">
        <f t="shared" si="61"/>
        <v>87.972684085510693</v>
      </c>
      <c r="M996">
        <v>1414040400</v>
      </c>
      <c r="N996" s="9">
        <f t="shared" si="62"/>
        <v>41929.208333333336</v>
      </c>
      <c r="O996" s="9">
        <f t="shared" si="63"/>
        <v>41935.208333333336</v>
      </c>
      <c r="P996" t="b">
        <v>0</v>
      </c>
      <c r="Q996" t="b">
        <v>1</v>
      </c>
      <c r="R996" t="s">
        <v>206</v>
      </c>
      <c r="S996" s="5" t="str" cm="1">
        <f t="array" ref="S996:T996">_xlfn.TEXTSPLIT(R996, "/")</f>
        <v>publishing</v>
      </c>
      <c r="T996" s="5" t="str">
        <v>translations</v>
      </c>
    </row>
    <row r="997" spans="1:20" ht="19.5" x14ac:dyDescent="0.4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 s="4">
        <f t="shared" si="60"/>
        <v>157.46762589928059</v>
      </c>
      <c r="K997">
        <v>1541307600</v>
      </c>
      <c r="L997" s="5">
        <f t="shared" si="61"/>
        <v>74.995594713656388</v>
      </c>
      <c r="M997">
        <v>1543816800</v>
      </c>
      <c r="N997" s="9">
        <f t="shared" si="62"/>
        <v>43408.208333333328</v>
      </c>
      <c r="O997" s="9">
        <f t="shared" si="63"/>
        <v>43437.25</v>
      </c>
      <c r="P997" t="b">
        <v>0</v>
      </c>
      <c r="Q997" t="b">
        <v>1</v>
      </c>
      <c r="R997" t="s">
        <v>17</v>
      </c>
      <c r="S997" s="5" t="str" cm="1">
        <f t="array" ref="S997:T997">_xlfn.TEXTSPLIT(R997, "/")</f>
        <v>food</v>
      </c>
      <c r="T997" s="5" t="str">
        <v>food trucks</v>
      </c>
    </row>
    <row r="998" spans="1:20" ht="33.75" x14ac:dyDescent="0.4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 s="4">
        <f t="shared" si="60"/>
        <v>72.939393939393938</v>
      </c>
      <c r="K998">
        <v>1357106400</v>
      </c>
      <c r="L998" s="5">
        <f t="shared" si="61"/>
        <v>42.982142857142854</v>
      </c>
      <c r="M998">
        <v>1359698400</v>
      </c>
      <c r="N998" s="9">
        <f t="shared" si="62"/>
        <v>41276.25</v>
      </c>
      <c r="O998" s="9">
        <f t="shared" si="63"/>
        <v>41306.25</v>
      </c>
      <c r="P998" t="b">
        <v>0</v>
      </c>
      <c r="Q998" t="b">
        <v>0</v>
      </c>
      <c r="R998" t="s">
        <v>33</v>
      </c>
      <c r="S998" s="5" t="str" cm="1">
        <f t="array" ref="S998:T998">_xlfn.TEXTSPLIT(R998, "/")</f>
        <v>theater</v>
      </c>
      <c r="T998" s="5" t="str">
        <v>plays</v>
      </c>
    </row>
    <row r="999" spans="1:20" ht="19.5" x14ac:dyDescent="0.4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 s="4">
        <f t="shared" si="60"/>
        <v>60.565789473684205</v>
      </c>
      <c r="K999">
        <v>1390197600</v>
      </c>
      <c r="L999" s="5">
        <f t="shared" si="61"/>
        <v>33.115107913669064</v>
      </c>
      <c r="M999">
        <v>1390629600</v>
      </c>
      <c r="N999" s="9">
        <f t="shared" si="62"/>
        <v>41659.25</v>
      </c>
      <c r="O999" s="9">
        <f t="shared" si="63"/>
        <v>41664.25</v>
      </c>
      <c r="P999" t="b">
        <v>0</v>
      </c>
      <c r="Q999" t="b">
        <v>0</v>
      </c>
      <c r="R999" t="s">
        <v>33</v>
      </c>
      <c r="S999" s="5" t="str" cm="1">
        <f t="array" ref="S999:T999">_xlfn.TEXTSPLIT(R999, "/")</f>
        <v>theater</v>
      </c>
      <c r="T999" s="5" t="str">
        <v>plays</v>
      </c>
    </row>
    <row r="1000" spans="1:20" ht="19.5" x14ac:dyDescent="0.4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 s="4">
        <f t="shared" si="60"/>
        <v>56.791291291291287</v>
      </c>
      <c r="K1000">
        <v>1265868000</v>
      </c>
      <c r="L1000" s="5">
        <f t="shared" si="61"/>
        <v>101.13101604278074</v>
      </c>
      <c r="M1000">
        <v>1267077600</v>
      </c>
      <c r="N1000" s="9">
        <f t="shared" si="62"/>
        <v>40220.25</v>
      </c>
      <c r="O1000" s="9">
        <f t="shared" si="63"/>
        <v>40234.25</v>
      </c>
      <c r="P1000" t="b">
        <v>0</v>
      </c>
      <c r="Q1000" t="b">
        <v>1</v>
      </c>
      <c r="R1000" t="s">
        <v>60</v>
      </c>
      <c r="S1000" s="5" t="str" cm="1">
        <f t="array" ref="S1000:T1000">_xlfn.TEXTSPLIT(R1000, "/")</f>
        <v>music</v>
      </c>
      <c r="T1000" s="5" t="str">
        <v>indie rock</v>
      </c>
    </row>
    <row r="1001" spans="1:20" ht="19.5" x14ac:dyDescent="0.4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 s="4">
        <f t="shared" si="60"/>
        <v>56.542754275427541</v>
      </c>
      <c r="K1001">
        <v>1467176400</v>
      </c>
      <c r="L1001" s="5">
        <f t="shared" si="61"/>
        <v>55.98841354723708</v>
      </c>
      <c r="M1001">
        <v>1467781200</v>
      </c>
      <c r="N1001" s="9">
        <f t="shared" si="62"/>
        <v>42550.208333333328</v>
      </c>
      <c r="O1001" s="9">
        <f t="shared" si="63"/>
        <v>42557.208333333328</v>
      </c>
      <c r="P1001" t="b">
        <v>0</v>
      </c>
      <c r="Q1001" t="b">
        <v>0</v>
      </c>
      <c r="R1001" t="s">
        <v>17</v>
      </c>
      <c r="S1001" s="5" t="str" cm="1">
        <f t="array" ref="S1001:T1001">_xlfn.TEXTSPLIT(R1001, "/")</f>
        <v>food</v>
      </c>
      <c r="T1001" s="5" t="str">
        <v>food trucks</v>
      </c>
    </row>
  </sheetData>
  <autoFilter ref="A1:U1001" xr:uid="{00000000-0001-0000-0000-000000000000}"/>
  <conditionalFormatting sqref="F1:F1048576">
    <cfRule type="containsText" dxfId="5" priority="3" operator="containsText" text="canceled">
      <formula>NOT(ISERROR(SEARCH("canceled",F1)))</formula>
    </cfRule>
    <cfRule type="containsText" dxfId="4" priority="4" operator="containsText" text="live">
      <formula>NOT(ISERROR(SEARCH("live",F1)))</formula>
    </cfRule>
    <cfRule type="containsText" dxfId="3" priority="6" operator="containsText" text="successful">
      <formula>NOT(ISERROR(SEARCH("successful",F1)))</formula>
    </cfRule>
    <cfRule type="containsText" dxfId="2" priority="7" operator="containsText" text="failed">
      <formula>NOT(ISERROR(SEARCH("failed",F1)))</formula>
    </cfRule>
    <cfRule type="expression" dxfId="1" priority="8">
      <formula>F2</formula>
    </cfRule>
  </conditionalFormatting>
  <conditionalFormatting sqref="F10">
    <cfRule type="containsText" dxfId="0" priority="5" operator="containsText" text="live">
      <formula>NOT(ISERROR(SEARCH("live",F10)))</formula>
    </cfRule>
  </conditionalFormatting>
  <conditionalFormatting sqref="J1:J1048576">
    <cfRule type="colorScale" priority="1">
      <colorScale>
        <cfvo type="num" val="0"/>
        <cfvo type="num" val="100"/>
        <cfvo type="num" val="200"/>
        <color rgb="FFC00000"/>
        <color theme="9"/>
        <color rgb="FF00B0F0"/>
      </colorScale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2435F-C145-4D81-983F-7C45E0E3935F}">
  <sheetPr codeName="Sheet2"/>
  <dimension ref="A1:F14"/>
  <sheetViews>
    <sheetView workbookViewId="0">
      <selection activeCell="L23" sqref="L23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7" width="11" bestFit="1" customWidth="1"/>
  </cols>
  <sheetData>
    <row r="1" spans="1:6" x14ac:dyDescent="0.25">
      <c r="A1" s="6" t="s">
        <v>6</v>
      </c>
      <c r="B1" t="s">
        <v>2071</v>
      </c>
    </row>
    <row r="3" spans="1:6" x14ac:dyDescent="0.25">
      <c r="A3" s="6" t="s">
        <v>2036</v>
      </c>
      <c r="B3" s="6" t="s">
        <v>2070</v>
      </c>
    </row>
    <row r="4" spans="1:6" x14ac:dyDescent="0.25">
      <c r="A4" s="6" t="s">
        <v>2033</v>
      </c>
      <c r="B4" t="s">
        <v>74</v>
      </c>
      <c r="C4" t="s">
        <v>14</v>
      </c>
      <c r="D4" t="s">
        <v>47</v>
      </c>
      <c r="E4" t="s">
        <v>20</v>
      </c>
      <c r="F4" t="s">
        <v>2035</v>
      </c>
    </row>
    <row r="5" spans="1:6" x14ac:dyDescent="0.25">
      <c r="A5" s="7" t="s">
        <v>2037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25">
      <c r="A6" s="7" t="s">
        <v>2038</v>
      </c>
      <c r="B6">
        <v>4</v>
      </c>
      <c r="C6">
        <v>20</v>
      </c>
      <c r="E6">
        <v>22</v>
      </c>
      <c r="F6">
        <v>46</v>
      </c>
    </row>
    <row r="7" spans="1:6" x14ac:dyDescent="0.25">
      <c r="A7" s="7" t="s">
        <v>2039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25">
      <c r="A8" s="7" t="s">
        <v>2040</v>
      </c>
      <c r="E8">
        <v>4</v>
      </c>
      <c r="F8">
        <v>4</v>
      </c>
    </row>
    <row r="9" spans="1:6" x14ac:dyDescent="0.25">
      <c r="A9" s="7" t="s">
        <v>2041</v>
      </c>
      <c r="B9">
        <v>10</v>
      </c>
      <c r="C9">
        <v>66</v>
      </c>
      <c r="E9">
        <v>99</v>
      </c>
      <c r="F9">
        <v>175</v>
      </c>
    </row>
    <row r="10" spans="1:6" x14ac:dyDescent="0.25">
      <c r="A10" s="7" t="s">
        <v>2042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25">
      <c r="A11" s="7" t="s">
        <v>2043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25">
      <c r="A12" s="7" t="s">
        <v>2044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25">
      <c r="A13" s="7" t="s">
        <v>2045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25">
      <c r="A14" s="7" t="s">
        <v>2035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AABDE-2AAD-44F9-9DBD-4FCDF85A0125}">
  <sheetPr codeName="Sheet3"/>
  <dimension ref="A1:G31"/>
  <sheetViews>
    <sheetView workbookViewId="0">
      <selection activeCell="J27" sqref="J27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6.875" bestFit="1" customWidth="1"/>
    <col min="7" max="7" width="11" bestFit="1" customWidth="1"/>
  </cols>
  <sheetData>
    <row r="1" spans="1:7" x14ac:dyDescent="0.25">
      <c r="A1" s="6" t="s">
        <v>6</v>
      </c>
      <c r="B1" t="s">
        <v>2071</v>
      </c>
    </row>
    <row r="2" spans="1:7" x14ac:dyDescent="0.25">
      <c r="A2" s="6" t="s">
        <v>2031</v>
      </c>
      <c r="B2" t="s">
        <v>2071</v>
      </c>
    </row>
    <row r="4" spans="1:7" x14ac:dyDescent="0.25">
      <c r="A4" s="6" t="s">
        <v>2036</v>
      </c>
      <c r="B4" s="6" t="s">
        <v>2070</v>
      </c>
    </row>
    <row r="5" spans="1:7" x14ac:dyDescent="0.25">
      <c r="A5" s="6" t="s">
        <v>2033</v>
      </c>
      <c r="B5" t="s">
        <v>74</v>
      </c>
      <c r="C5" t="s">
        <v>14</v>
      </c>
      <c r="D5" t="s">
        <v>47</v>
      </c>
      <c r="E5" t="s">
        <v>20</v>
      </c>
      <c r="F5" t="s">
        <v>2034</v>
      </c>
      <c r="G5" t="s">
        <v>2035</v>
      </c>
    </row>
    <row r="6" spans="1:7" x14ac:dyDescent="0.25">
      <c r="A6" s="7" t="s">
        <v>2046</v>
      </c>
      <c r="B6">
        <v>1</v>
      </c>
      <c r="C6">
        <v>10</v>
      </c>
      <c r="D6">
        <v>2</v>
      </c>
      <c r="E6">
        <v>21</v>
      </c>
      <c r="G6">
        <v>34</v>
      </c>
    </row>
    <row r="7" spans="1:7" x14ac:dyDescent="0.25">
      <c r="A7" s="7" t="s">
        <v>2055</v>
      </c>
      <c r="E7">
        <v>4</v>
      </c>
      <c r="G7">
        <v>4</v>
      </c>
    </row>
    <row r="8" spans="1:7" x14ac:dyDescent="0.25">
      <c r="A8" s="7" t="s">
        <v>2047</v>
      </c>
      <c r="B8">
        <v>4</v>
      </c>
      <c r="C8">
        <v>21</v>
      </c>
      <c r="D8">
        <v>1</v>
      </c>
      <c r="E8">
        <v>34</v>
      </c>
      <c r="G8">
        <v>60</v>
      </c>
    </row>
    <row r="9" spans="1:7" x14ac:dyDescent="0.25">
      <c r="A9" s="7" t="s">
        <v>2048</v>
      </c>
      <c r="B9">
        <v>2</v>
      </c>
      <c r="C9">
        <v>12</v>
      </c>
      <c r="D9">
        <v>1</v>
      </c>
      <c r="E9">
        <v>22</v>
      </c>
      <c r="G9">
        <v>37</v>
      </c>
    </row>
    <row r="10" spans="1:7" x14ac:dyDescent="0.25">
      <c r="A10" s="7" t="s">
        <v>2056</v>
      </c>
      <c r="C10">
        <v>8</v>
      </c>
      <c r="E10">
        <v>10</v>
      </c>
      <c r="G10">
        <v>18</v>
      </c>
    </row>
    <row r="11" spans="1:7" x14ac:dyDescent="0.25">
      <c r="A11" s="7" t="s">
        <v>2063</v>
      </c>
      <c r="B11">
        <v>1</v>
      </c>
      <c r="C11">
        <v>7</v>
      </c>
      <c r="E11">
        <v>9</v>
      </c>
      <c r="G11">
        <v>17</v>
      </c>
    </row>
    <row r="12" spans="1:7" x14ac:dyDescent="0.25">
      <c r="A12" s="7" t="s">
        <v>2052</v>
      </c>
      <c r="B12">
        <v>4</v>
      </c>
      <c r="C12">
        <v>20</v>
      </c>
      <c r="E12">
        <v>22</v>
      </c>
      <c r="G12">
        <v>46</v>
      </c>
    </row>
    <row r="13" spans="1:7" x14ac:dyDescent="0.25">
      <c r="A13" s="7" t="s">
        <v>2057</v>
      </c>
      <c r="B13">
        <v>3</v>
      </c>
      <c r="C13">
        <v>19</v>
      </c>
      <c r="E13">
        <v>23</v>
      </c>
      <c r="G13">
        <v>45</v>
      </c>
    </row>
    <row r="14" spans="1:7" x14ac:dyDescent="0.25">
      <c r="A14" s="7" t="s">
        <v>2058</v>
      </c>
      <c r="B14">
        <v>1</v>
      </c>
      <c r="C14">
        <v>6</v>
      </c>
      <c r="E14">
        <v>10</v>
      </c>
      <c r="G14">
        <v>17</v>
      </c>
    </row>
    <row r="15" spans="1:7" x14ac:dyDescent="0.25">
      <c r="A15" s="7" t="s">
        <v>2059</v>
      </c>
      <c r="C15">
        <v>3</v>
      </c>
      <c r="E15">
        <v>4</v>
      </c>
      <c r="G15">
        <v>7</v>
      </c>
    </row>
    <row r="16" spans="1:7" x14ac:dyDescent="0.25">
      <c r="A16" s="7" t="s">
        <v>2053</v>
      </c>
      <c r="C16">
        <v>8</v>
      </c>
      <c r="D16">
        <v>1</v>
      </c>
      <c r="E16">
        <v>4</v>
      </c>
      <c r="G16">
        <v>13</v>
      </c>
    </row>
    <row r="17" spans="1:7" x14ac:dyDescent="0.25">
      <c r="A17" s="7" t="s">
        <v>2064</v>
      </c>
      <c r="B17">
        <v>1</v>
      </c>
      <c r="C17">
        <v>6</v>
      </c>
      <c r="D17">
        <v>1</v>
      </c>
      <c r="E17">
        <v>13</v>
      </c>
      <c r="G17">
        <v>21</v>
      </c>
    </row>
    <row r="18" spans="1:7" x14ac:dyDescent="0.25">
      <c r="A18" s="7" t="s">
        <v>2062</v>
      </c>
      <c r="B18">
        <v>4</v>
      </c>
      <c r="C18">
        <v>11</v>
      </c>
      <c r="D18">
        <v>1</v>
      </c>
      <c r="E18">
        <v>26</v>
      </c>
      <c r="G18">
        <v>42</v>
      </c>
    </row>
    <row r="19" spans="1:7" x14ac:dyDescent="0.25">
      <c r="A19" s="7" t="s">
        <v>2069</v>
      </c>
      <c r="B19">
        <v>23</v>
      </c>
      <c r="C19">
        <v>132</v>
      </c>
      <c r="D19">
        <v>2</v>
      </c>
      <c r="E19">
        <v>187</v>
      </c>
      <c r="G19">
        <v>344</v>
      </c>
    </row>
    <row r="20" spans="1:7" x14ac:dyDescent="0.25">
      <c r="A20" s="7" t="s">
        <v>2065</v>
      </c>
      <c r="C20">
        <v>4</v>
      </c>
      <c r="E20">
        <v>4</v>
      </c>
      <c r="G20">
        <v>8</v>
      </c>
    </row>
    <row r="21" spans="1:7" x14ac:dyDescent="0.25">
      <c r="A21" s="7" t="s">
        <v>2060</v>
      </c>
      <c r="B21">
        <v>6</v>
      </c>
      <c r="C21">
        <v>30</v>
      </c>
      <c r="E21">
        <v>49</v>
      </c>
      <c r="G21">
        <v>85</v>
      </c>
    </row>
    <row r="22" spans="1:7" x14ac:dyDescent="0.25">
      <c r="A22" s="7" t="s">
        <v>2049</v>
      </c>
      <c r="C22">
        <v>9</v>
      </c>
      <c r="E22">
        <v>5</v>
      </c>
      <c r="G22">
        <v>14</v>
      </c>
    </row>
    <row r="23" spans="1:7" x14ac:dyDescent="0.25">
      <c r="A23" s="7" t="s">
        <v>2050</v>
      </c>
      <c r="B23">
        <v>1</v>
      </c>
      <c r="C23">
        <v>5</v>
      </c>
      <c r="D23">
        <v>1</v>
      </c>
      <c r="E23">
        <v>9</v>
      </c>
      <c r="G23">
        <v>16</v>
      </c>
    </row>
    <row r="24" spans="1:7" x14ac:dyDescent="0.25">
      <c r="A24" s="7" t="s">
        <v>2051</v>
      </c>
      <c r="B24">
        <v>3</v>
      </c>
      <c r="C24">
        <v>3</v>
      </c>
      <c r="E24">
        <v>11</v>
      </c>
      <c r="G24">
        <v>17</v>
      </c>
    </row>
    <row r="25" spans="1:7" x14ac:dyDescent="0.25">
      <c r="A25" s="7" t="s">
        <v>2066</v>
      </c>
      <c r="C25">
        <v>7</v>
      </c>
      <c r="E25">
        <v>14</v>
      </c>
      <c r="G25">
        <v>21</v>
      </c>
    </row>
    <row r="26" spans="1:7" x14ac:dyDescent="0.25">
      <c r="A26" s="7" t="s">
        <v>2054</v>
      </c>
      <c r="B26">
        <v>1</v>
      </c>
      <c r="C26">
        <v>15</v>
      </c>
      <c r="D26">
        <v>2</v>
      </c>
      <c r="E26">
        <v>17</v>
      </c>
      <c r="G26">
        <v>35</v>
      </c>
    </row>
    <row r="27" spans="1:7" x14ac:dyDescent="0.25">
      <c r="A27" s="7" t="s">
        <v>2067</v>
      </c>
      <c r="C27">
        <v>16</v>
      </c>
      <c r="D27">
        <v>1</v>
      </c>
      <c r="E27">
        <v>28</v>
      </c>
      <c r="G27">
        <v>45</v>
      </c>
    </row>
    <row r="28" spans="1:7" x14ac:dyDescent="0.25">
      <c r="A28" s="7" t="s">
        <v>2068</v>
      </c>
      <c r="B28">
        <v>2</v>
      </c>
      <c r="C28">
        <v>12</v>
      </c>
      <c r="D28">
        <v>1</v>
      </c>
      <c r="E28">
        <v>36</v>
      </c>
      <c r="G28">
        <v>51</v>
      </c>
    </row>
    <row r="29" spans="1:7" x14ac:dyDescent="0.25">
      <c r="A29" s="7" t="s">
        <v>2061</v>
      </c>
      <c r="E29">
        <v>3</v>
      </c>
      <c r="G29">
        <v>3</v>
      </c>
    </row>
    <row r="30" spans="1:7" x14ac:dyDescent="0.25">
      <c r="A30" s="7" t="s">
        <v>2034</v>
      </c>
    </row>
    <row r="31" spans="1:7" x14ac:dyDescent="0.25">
      <c r="A31" s="7" t="s">
        <v>2035</v>
      </c>
      <c r="B31">
        <v>57</v>
      </c>
      <c r="C31">
        <v>364</v>
      </c>
      <c r="D31">
        <v>14</v>
      </c>
      <c r="E31">
        <v>565</v>
      </c>
      <c r="G31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97A40-C2C1-4938-BC7C-5A77D3EED0A9}">
  <sheetPr codeName="Sheet4"/>
  <dimension ref="A1:F18"/>
  <sheetViews>
    <sheetView topLeftCell="B1" workbookViewId="0">
      <selection activeCell="M23" sqref="M23"/>
    </sheetView>
  </sheetViews>
  <sheetFormatPr defaultRowHeight="15.75" x14ac:dyDescent="0.25"/>
  <cols>
    <col min="1" max="1" width="27.87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6" t="s">
        <v>2031</v>
      </c>
      <c r="B1" t="s">
        <v>2071</v>
      </c>
    </row>
    <row r="2" spans="1:6" x14ac:dyDescent="0.25">
      <c r="A2" s="6" t="s">
        <v>2086</v>
      </c>
      <c r="B2" t="s">
        <v>2071</v>
      </c>
    </row>
    <row r="4" spans="1:6" x14ac:dyDescent="0.25">
      <c r="A4" s="6" t="s">
        <v>2036</v>
      </c>
      <c r="B4" s="6" t="s">
        <v>2070</v>
      </c>
    </row>
    <row r="5" spans="1:6" x14ac:dyDescent="0.25">
      <c r="A5" s="6" t="s">
        <v>2033</v>
      </c>
      <c r="B5" t="s">
        <v>74</v>
      </c>
      <c r="C5" t="s">
        <v>14</v>
      </c>
      <c r="D5" t="s">
        <v>47</v>
      </c>
      <c r="E5" t="s">
        <v>20</v>
      </c>
      <c r="F5" t="s">
        <v>2035</v>
      </c>
    </row>
    <row r="6" spans="1:6" x14ac:dyDescent="0.25">
      <c r="A6" s="7" t="s">
        <v>2074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25">
      <c r="A7" s="7" t="s">
        <v>2075</v>
      </c>
      <c r="B7">
        <v>7</v>
      </c>
      <c r="C7">
        <v>28</v>
      </c>
      <c r="E7">
        <v>44</v>
      </c>
      <c r="F7">
        <v>79</v>
      </c>
    </row>
    <row r="8" spans="1:6" x14ac:dyDescent="0.25">
      <c r="A8" s="7" t="s">
        <v>2076</v>
      </c>
      <c r="B8">
        <v>4</v>
      </c>
      <c r="C8">
        <v>33</v>
      </c>
      <c r="E8">
        <v>49</v>
      </c>
      <c r="F8">
        <v>86</v>
      </c>
    </row>
    <row r="9" spans="1:6" x14ac:dyDescent="0.25">
      <c r="A9" s="7" t="s">
        <v>2077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25">
      <c r="A10" s="7" t="s">
        <v>2078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25">
      <c r="A11" s="7" t="s">
        <v>2079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25">
      <c r="A12" s="7" t="s">
        <v>2080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25">
      <c r="A13" s="7" t="s">
        <v>2081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25">
      <c r="A14" s="7" t="s">
        <v>2082</v>
      </c>
      <c r="B14">
        <v>5</v>
      </c>
      <c r="C14">
        <v>23</v>
      </c>
      <c r="E14">
        <v>45</v>
      </c>
      <c r="F14">
        <v>73</v>
      </c>
    </row>
    <row r="15" spans="1:6" x14ac:dyDescent="0.25">
      <c r="A15" s="7" t="s">
        <v>2083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25">
      <c r="A16" s="7" t="s">
        <v>2084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25">
      <c r="A17" s="7" t="s">
        <v>2085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25">
      <c r="A18" s="7" t="s">
        <v>2035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D9E3D-8D39-49C9-ABE7-8DEA48245D38}">
  <sheetPr codeName="Sheet5"/>
  <dimension ref="A1:H32"/>
  <sheetViews>
    <sheetView workbookViewId="0">
      <selection activeCell="A17" sqref="A17"/>
    </sheetView>
  </sheetViews>
  <sheetFormatPr defaultRowHeight="15.75" x14ac:dyDescent="0.25"/>
  <cols>
    <col min="1" max="1" width="26.375" bestFit="1" customWidth="1"/>
    <col min="2" max="2" width="26.625" bestFit="1" customWidth="1"/>
    <col min="3" max="3" width="23.875" bestFit="1" customWidth="1"/>
    <col min="4" max="4" width="25.625" bestFit="1" customWidth="1"/>
    <col min="5" max="5" width="12" bestFit="1" customWidth="1"/>
    <col min="6" max="6" width="19.25" style="4" bestFit="1" customWidth="1"/>
    <col min="7" max="7" width="16.5" style="4" bestFit="1" customWidth="1"/>
    <col min="8" max="8" width="18.25" style="4" bestFit="1" customWidth="1"/>
    <col min="9" max="10" width="3.875" bestFit="1" customWidth="1"/>
    <col min="11" max="11" width="11" bestFit="1" customWidth="1"/>
    <col min="12" max="12" width="4.625" bestFit="1" customWidth="1"/>
    <col min="13" max="13" width="7.75" bestFit="1" customWidth="1"/>
    <col min="14" max="14" width="5.625" bestFit="1" customWidth="1"/>
    <col min="15" max="15" width="8.75" bestFit="1" customWidth="1"/>
    <col min="16" max="16" width="5.625" bestFit="1" customWidth="1"/>
    <col min="17" max="17" width="8.75" bestFit="1" customWidth="1"/>
    <col min="18" max="18" width="5.625" bestFit="1" customWidth="1"/>
    <col min="19" max="19" width="8.75" bestFit="1" customWidth="1"/>
    <col min="20" max="20" width="11" bestFit="1" customWidth="1"/>
    <col min="21" max="21" width="5.625" bestFit="1" customWidth="1"/>
    <col min="22" max="23" width="8.75" bestFit="1" customWidth="1"/>
    <col min="24" max="24" width="5.625" bestFit="1" customWidth="1"/>
    <col min="25" max="26" width="8.75" bestFit="1" customWidth="1"/>
    <col min="27" max="27" width="5.625" bestFit="1" customWidth="1"/>
    <col min="28" max="28" width="7.75" bestFit="1" customWidth="1"/>
    <col min="29" max="29" width="8.75" bestFit="1" customWidth="1"/>
    <col min="30" max="30" width="11" bestFit="1" customWidth="1"/>
    <col min="31" max="31" width="25.5" bestFit="1" customWidth="1"/>
    <col min="32" max="32" width="29.125" bestFit="1" customWidth="1"/>
    <col min="33" max="33" width="26.5" bestFit="1" customWidth="1"/>
    <col min="34" max="34" width="26.625" bestFit="1" customWidth="1"/>
    <col min="35" max="35" width="23.875" bestFit="1" customWidth="1"/>
    <col min="36" max="36" width="29.125" bestFit="1" customWidth="1"/>
    <col min="37" max="37" width="26.5" bestFit="1" customWidth="1"/>
    <col min="38" max="38" width="29.125" bestFit="1" customWidth="1"/>
    <col min="39" max="39" width="26.5" bestFit="1" customWidth="1"/>
    <col min="40" max="40" width="26.625" bestFit="1" customWidth="1"/>
    <col min="41" max="41" width="23.875" bestFit="1" customWidth="1"/>
    <col min="42" max="42" width="30.25" bestFit="1" customWidth="1"/>
    <col min="43" max="43" width="27.5" bestFit="1" customWidth="1"/>
    <col min="44" max="44" width="30.25" bestFit="1" customWidth="1"/>
    <col min="45" max="45" width="27.5" bestFit="1" customWidth="1"/>
    <col min="46" max="46" width="26.625" bestFit="1" customWidth="1"/>
    <col min="47" max="47" width="23.875" bestFit="1" customWidth="1"/>
    <col min="48" max="48" width="30.25" bestFit="1" customWidth="1"/>
    <col min="49" max="49" width="27.5" bestFit="1" customWidth="1"/>
    <col min="50" max="50" width="30.25" bestFit="1" customWidth="1"/>
    <col min="51" max="51" width="27.5" bestFit="1" customWidth="1"/>
    <col min="52" max="52" width="26.625" bestFit="1" customWidth="1"/>
    <col min="53" max="53" width="23.875" bestFit="1" customWidth="1"/>
    <col min="54" max="54" width="29.125" bestFit="1" customWidth="1"/>
    <col min="55" max="55" width="26.5" bestFit="1" customWidth="1"/>
    <col min="56" max="56" width="30.25" bestFit="1" customWidth="1"/>
    <col min="57" max="57" width="27.5" bestFit="1" customWidth="1"/>
    <col min="58" max="58" width="31.625" bestFit="1" customWidth="1"/>
    <col min="59" max="59" width="28.875" bestFit="1" customWidth="1"/>
    <col min="60" max="60" width="25.625" bestFit="1" customWidth="1"/>
    <col min="61" max="61" width="23.875" bestFit="1" customWidth="1"/>
    <col min="62" max="62" width="30.25" bestFit="1" customWidth="1"/>
    <col min="63" max="63" width="29.125" bestFit="1" customWidth="1"/>
    <col min="64" max="64" width="27.5" bestFit="1" customWidth="1"/>
    <col min="65" max="65" width="30.25" bestFit="1" customWidth="1"/>
    <col min="66" max="66" width="29.125" bestFit="1" customWidth="1"/>
    <col min="67" max="67" width="27.5" bestFit="1" customWidth="1"/>
    <col min="68" max="68" width="26.625" bestFit="1" customWidth="1"/>
    <col min="69" max="69" width="25.625" bestFit="1" customWidth="1"/>
    <col min="70" max="70" width="23.875" bestFit="1" customWidth="1"/>
    <col min="71" max="71" width="30.25" bestFit="1" customWidth="1"/>
    <col min="72" max="72" width="29.125" bestFit="1" customWidth="1"/>
    <col min="73" max="73" width="27.5" bestFit="1" customWidth="1"/>
    <col min="74" max="74" width="30.25" bestFit="1" customWidth="1"/>
    <col min="75" max="75" width="29.125" bestFit="1" customWidth="1"/>
    <col min="76" max="76" width="27.5" bestFit="1" customWidth="1"/>
    <col min="77" max="77" width="26.625" bestFit="1" customWidth="1"/>
    <col min="78" max="78" width="25.625" bestFit="1" customWidth="1"/>
    <col min="79" max="79" width="23.875" bestFit="1" customWidth="1"/>
    <col min="80" max="80" width="29.125" bestFit="1" customWidth="1"/>
    <col min="81" max="81" width="28.125" bestFit="1" customWidth="1"/>
    <col min="82" max="82" width="26.5" bestFit="1" customWidth="1"/>
    <col min="83" max="83" width="30.25" bestFit="1" customWidth="1"/>
    <col min="84" max="84" width="29.125" bestFit="1" customWidth="1"/>
    <col min="85" max="85" width="27.5" bestFit="1" customWidth="1"/>
    <col min="86" max="86" width="31.625" bestFit="1" customWidth="1"/>
    <col min="87" max="87" width="30.625" bestFit="1" customWidth="1"/>
    <col min="88" max="88" width="28.875" bestFit="1" customWidth="1"/>
  </cols>
  <sheetData>
    <row r="1" spans="1:8" x14ac:dyDescent="0.25">
      <c r="A1" t="s">
        <v>2087</v>
      </c>
      <c r="B1" t="s">
        <v>2088</v>
      </c>
      <c r="C1" t="s">
        <v>2089</v>
      </c>
      <c r="D1" t="s">
        <v>2090</v>
      </c>
      <c r="E1" t="s">
        <v>2091</v>
      </c>
      <c r="F1" s="4" t="s">
        <v>2092</v>
      </c>
      <c r="G1" s="4" t="s">
        <v>2093</v>
      </c>
      <c r="H1" s="4" t="s">
        <v>2094</v>
      </c>
    </row>
    <row r="2" spans="1:8" x14ac:dyDescent="0.25">
      <c r="A2" s="11" t="s">
        <v>2095</v>
      </c>
      <c r="B2">
        <f>COUNTIFS(Crowdfunding!D:D, "&lt;1000", Crowdfunding!F:F, "successful")</f>
        <v>30</v>
      </c>
      <c r="C2">
        <f>COUNTIFS(Crowdfunding!D:D, "&lt;1000", Crowdfunding!F:F, "failed")</f>
        <v>20</v>
      </c>
      <c r="D2">
        <f>COUNTIFS(Crowdfunding!D:D, "&lt;1000", Crowdfunding!F:F, "canceled")</f>
        <v>1</v>
      </c>
      <c r="E2">
        <f>SUM(B2:D2)</f>
        <v>51</v>
      </c>
      <c r="F2" s="4">
        <f>B2/E2</f>
        <v>0.58823529411764708</v>
      </c>
      <c r="G2" s="4">
        <f>C2/E2</f>
        <v>0.39215686274509803</v>
      </c>
      <c r="H2" s="4">
        <f>D2/51</f>
        <v>1.9607843137254902E-2</v>
      </c>
    </row>
    <row r="3" spans="1:8" x14ac:dyDescent="0.25">
      <c r="A3" s="11" t="s">
        <v>2096</v>
      </c>
      <c r="B3">
        <f>COUNTIFS(Crowdfunding!D:D, "&gt;=1000",Crowdfunding!D:D, "&lt;=4999", Crowdfunding!F:F, "successful")</f>
        <v>191</v>
      </c>
      <c r="C3">
        <f>COUNTIFS(Crowdfunding!D:D, "&gt;=1000",Crowdfunding!D:D, "&lt;=4999", Crowdfunding!F:F, "failed")</f>
        <v>38</v>
      </c>
      <c r="D3">
        <f>COUNTIFS(Crowdfunding!D:D, "&gt;=1000",Crowdfunding!D:D, "&lt;=4999", Crowdfunding!F:F, "canceled")</f>
        <v>2</v>
      </c>
      <c r="E3">
        <f t="shared" ref="E3:E13" si="0">SUM(B3:D3)</f>
        <v>231</v>
      </c>
      <c r="F3" s="4">
        <f t="shared" ref="F3:F13" si="1">B3/E3</f>
        <v>0.82683982683982682</v>
      </c>
      <c r="G3" s="4">
        <f t="shared" ref="G3:G13" si="2">C3/E3</f>
        <v>0.16450216450216451</v>
      </c>
      <c r="H3" s="4">
        <f t="shared" ref="H3:H13" si="3">D3/51</f>
        <v>3.9215686274509803E-2</v>
      </c>
    </row>
    <row r="4" spans="1:8" x14ac:dyDescent="0.25">
      <c r="A4" s="11" t="s">
        <v>2097</v>
      </c>
      <c r="B4">
        <f>COUNTIFS(Crowdfunding!D:D, "&gt;=5000",Crowdfunding!D:D, "&lt;=9999", Crowdfunding!F:F, "successful")</f>
        <v>164</v>
      </c>
      <c r="C4">
        <f>COUNTIFS(Crowdfunding!D:D, "&gt;=5000",Crowdfunding!D:D, "&lt;=9999", Crowdfunding!F:F, "failed")</f>
        <v>126</v>
      </c>
      <c r="D4">
        <f>COUNTIFS(Crowdfunding!D:D, "&gt;=5000",Crowdfunding!D:D, "&lt;=9999", Crowdfunding!F:F, "canceled")</f>
        <v>25</v>
      </c>
      <c r="E4">
        <f t="shared" si="0"/>
        <v>315</v>
      </c>
      <c r="F4" s="4">
        <f t="shared" si="1"/>
        <v>0.52063492063492067</v>
      </c>
      <c r="G4" s="4">
        <f t="shared" si="2"/>
        <v>0.4</v>
      </c>
      <c r="H4" s="4">
        <f t="shared" si="3"/>
        <v>0.49019607843137253</v>
      </c>
    </row>
    <row r="5" spans="1:8" x14ac:dyDescent="0.25">
      <c r="A5" s="11" t="s">
        <v>2098</v>
      </c>
      <c r="B5">
        <f>COUNTIFS(Crowdfunding!D:D, "&gt;=10000",Crowdfunding!D:D, "&lt;=14999", Crowdfunding!F:F, "successful")</f>
        <v>4</v>
      </c>
      <c r="C5">
        <f>COUNTIFS(Crowdfunding!D:D, "&gt;=10000",Crowdfunding!D:D, "&lt;=14999", Crowdfunding!F:F, "failed")</f>
        <v>5</v>
      </c>
      <c r="D5">
        <f>COUNTIFS(Crowdfunding!D:D, "&gt;=10000",Crowdfunding!D:D, "&lt;=14999", Crowdfunding!F:F, "canceled")</f>
        <v>0</v>
      </c>
      <c r="E5">
        <f t="shared" si="0"/>
        <v>9</v>
      </c>
      <c r="F5" s="4">
        <f t="shared" si="1"/>
        <v>0.44444444444444442</v>
      </c>
      <c r="G5" s="4">
        <f t="shared" si="2"/>
        <v>0.55555555555555558</v>
      </c>
      <c r="H5" s="4">
        <f t="shared" si="3"/>
        <v>0</v>
      </c>
    </row>
    <row r="6" spans="1:8" x14ac:dyDescent="0.25">
      <c r="A6" s="11" t="s">
        <v>2099</v>
      </c>
      <c r="B6">
        <f>COUNTIFS(Crowdfunding!D:D, "&gt;=15000",Crowdfunding!D:D, "&lt;=19999", Crowdfunding!F:F, "successful")</f>
        <v>10</v>
      </c>
      <c r="C6">
        <f>COUNTIFS(Crowdfunding!D:D, "&gt;=15000",Crowdfunding!D:D, "&lt;=19999", Crowdfunding!F:F, "failed")</f>
        <v>0</v>
      </c>
      <c r="D6">
        <f>COUNTIFS(Crowdfunding!D:D, "&gt;=15000",Crowdfunding!D:D, "&lt;=19999", Crowdfunding!F:F, "canceled")</f>
        <v>0</v>
      </c>
      <c r="E6">
        <f t="shared" si="0"/>
        <v>10</v>
      </c>
      <c r="F6" s="4">
        <f t="shared" si="1"/>
        <v>1</v>
      </c>
      <c r="G6" s="4">
        <f t="shared" si="2"/>
        <v>0</v>
      </c>
      <c r="H6" s="4">
        <f t="shared" si="3"/>
        <v>0</v>
      </c>
    </row>
    <row r="7" spans="1:8" x14ac:dyDescent="0.25">
      <c r="A7" s="11" t="s">
        <v>2100</v>
      </c>
      <c r="B7">
        <f>COUNTIFS(Crowdfunding!D:D, "&gt;=20000",Crowdfunding!D:D, "&lt;=24999", Crowdfunding!F:F, "successful")</f>
        <v>7</v>
      </c>
      <c r="C7">
        <f>COUNTIFS(Crowdfunding!D:D, "&gt;=20000",Crowdfunding!D:D, "&lt;=24999", Crowdfunding!F:F, "failed")</f>
        <v>0</v>
      </c>
      <c r="D7">
        <f>COUNTIFS(Crowdfunding!D:D, "&gt;=20000",Crowdfunding!D:D, "&lt;=24999", Crowdfunding!F:F, "canceled")</f>
        <v>0</v>
      </c>
      <c r="E7">
        <f t="shared" si="0"/>
        <v>7</v>
      </c>
      <c r="F7" s="4">
        <f t="shared" si="1"/>
        <v>1</v>
      </c>
      <c r="G7" s="4">
        <f t="shared" si="2"/>
        <v>0</v>
      </c>
      <c r="H7" s="4">
        <f t="shared" si="3"/>
        <v>0</v>
      </c>
    </row>
    <row r="8" spans="1:8" x14ac:dyDescent="0.25">
      <c r="A8" s="11" t="s">
        <v>2101</v>
      </c>
      <c r="B8">
        <f>COUNTIFS(Crowdfunding!D:D, "&gt;=25000",Crowdfunding!D:D, "&lt;=29999", Crowdfunding!F:F, "successful")</f>
        <v>11</v>
      </c>
      <c r="C8">
        <f>COUNTIFS(Crowdfunding!D:D, "&gt;=25000",Crowdfunding!D:D, "&lt;=29999", Crowdfunding!F:F, "failed")</f>
        <v>3</v>
      </c>
      <c r="D8">
        <f>COUNTIFS(Crowdfunding!D:D, "&gt;=25000",Crowdfunding!D:D, "&lt;=29999", Crowdfunding!F:F, "canceled")</f>
        <v>0</v>
      </c>
      <c r="E8">
        <f t="shared" si="0"/>
        <v>14</v>
      </c>
      <c r="F8" s="4">
        <f t="shared" si="1"/>
        <v>0.7857142857142857</v>
      </c>
      <c r="G8" s="4">
        <f t="shared" si="2"/>
        <v>0.21428571428571427</v>
      </c>
      <c r="H8" s="4">
        <f t="shared" si="3"/>
        <v>0</v>
      </c>
    </row>
    <row r="9" spans="1:8" x14ac:dyDescent="0.25">
      <c r="A9" s="11" t="s">
        <v>2102</v>
      </c>
      <c r="B9">
        <f>COUNTIFS(Crowdfunding!D:D, "&gt;=30000",Crowdfunding!D:D, "&lt;=34999", Crowdfunding!F:F, "successful")</f>
        <v>7</v>
      </c>
      <c r="C9">
        <f>COUNTIFS(Crowdfunding!D:D, "&gt;=30000",Crowdfunding!D:D, "&lt;=34999", Crowdfunding!F:F, "failed")</f>
        <v>0</v>
      </c>
      <c r="D9">
        <f>COUNTIFS(Crowdfunding!D:D, "&gt;=30000",Crowdfunding!D:D, "&lt;=34999", Crowdfunding!F:F, "canceled")</f>
        <v>0</v>
      </c>
      <c r="E9">
        <f t="shared" si="0"/>
        <v>7</v>
      </c>
      <c r="F9" s="4">
        <f t="shared" si="1"/>
        <v>1</v>
      </c>
      <c r="G9" s="4">
        <f t="shared" si="2"/>
        <v>0</v>
      </c>
      <c r="H9" s="4">
        <f t="shared" si="3"/>
        <v>0</v>
      </c>
    </row>
    <row r="10" spans="1:8" x14ac:dyDescent="0.25">
      <c r="A10" s="11" t="s">
        <v>2103</v>
      </c>
      <c r="B10">
        <f>COUNTIFS(Crowdfunding!D:D, "&gt;=35000",Crowdfunding!D:D, "&lt;=39999", Crowdfunding!F:F, "successful")</f>
        <v>8</v>
      </c>
      <c r="C10">
        <f>COUNTIFS(Crowdfunding!D:D, "&gt;=35000",Crowdfunding!D:D, "&lt;=39999", Crowdfunding!F:F, "failed")</f>
        <v>3</v>
      </c>
      <c r="D10">
        <f>COUNTIFS(Crowdfunding!D:D, "&gt;=35000",Crowdfunding!D:D, "&lt;=39999", Crowdfunding!F:F, "canceled")</f>
        <v>1</v>
      </c>
      <c r="E10">
        <f t="shared" si="0"/>
        <v>12</v>
      </c>
      <c r="F10" s="4">
        <f t="shared" si="1"/>
        <v>0.66666666666666663</v>
      </c>
      <c r="G10" s="4">
        <f t="shared" si="2"/>
        <v>0.25</v>
      </c>
      <c r="H10" s="4">
        <f t="shared" si="3"/>
        <v>1.9607843137254902E-2</v>
      </c>
    </row>
    <row r="11" spans="1:8" x14ac:dyDescent="0.25">
      <c r="A11" s="11" t="s">
        <v>2104</v>
      </c>
      <c r="B11">
        <f>COUNTIFS(Crowdfunding!D:D, "&gt;=40000",Crowdfunding!D:D, "&lt;=44999", Crowdfunding!F:F, "successful")</f>
        <v>11</v>
      </c>
      <c r="C11">
        <f>COUNTIFS(Crowdfunding!D:D, "&gt;=40000",Crowdfunding!D:D, "&lt;=44999", Crowdfunding!F:F, "failed")</f>
        <v>3</v>
      </c>
      <c r="D11">
        <f>COUNTIFS(Crowdfunding!D:D, "&gt;=40000",Crowdfunding!D:D, "&lt;=44999", Crowdfunding!F:F, "canceled")</f>
        <v>0</v>
      </c>
      <c r="E11">
        <f t="shared" si="0"/>
        <v>14</v>
      </c>
      <c r="F11" s="4">
        <f t="shared" si="1"/>
        <v>0.7857142857142857</v>
      </c>
      <c r="G11" s="4">
        <f t="shared" si="2"/>
        <v>0.21428571428571427</v>
      </c>
      <c r="H11" s="4">
        <f t="shared" si="3"/>
        <v>0</v>
      </c>
    </row>
    <row r="12" spans="1:8" x14ac:dyDescent="0.25">
      <c r="A12" s="11" t="s">
        <v>2105</v>
      </c>
      <c r="B12">
        <f>COUNTIFS(Crowdfunding!D:D, "&gt;=45000",Crowdfunding!D:D, "&lt;=49999", Crowdfunding!F:F, "successful")</f>
        <v>8</v>
      </c>
      <c r="C12">
        <f>COUNTIFS(Crowdfunding!D:D, "&gt;=45000",Crowdfunding!D:D, "&lt;=49999", Crowdfunding!F:F, "failed")</f>
        <v>3</v>
      </c>
      <c r="D12">
        <f>COUNTIFS(Crowdfunding!D:D, "&gt;=45000",Crowdfunding!D:D, "&lt;=49999", Crowdfunding!F:F, "canceled")</f>
        <v>0</v>
      </c>
      <c r="E12">
        <f t="shared" si="0"/>
        <v>11</v>
      </c>
      <c r="F12" s="4">
        <f t="shared" si="1"/>
        <v>0.72727272727272729</v>
      </c>
      <c r="G12" s="4">
        <f t="shared" si="2"/>
        <v>0.27272727272727271</v>
      </c>
      <c r="H12" s="4">
        <f t="shared" si="3"/>
        <v>0</v>
      </c>
    </row>
    <row r="13" spans="1:8" x14ac:dyDescent="0.25">
      <c r="A13" s="11" t="s">
        <v>2106</v>
      </c>
      <c r="B13">
        <f>COUNTIFS(Crowdfunding!D:D, "&gt;=50000", Crowdfunding!F:F, "successful")</f>
        <v>114</v>
      </c>
      <c r="C13">
        <f>COUNTIFS(Crowdfunding!D:D, "&gt;=50000", Crowdfunding!F:F, "failed")</f>
        <v>163</v>
      </c>
      <c r="D13">
        <f>COUNTIFS(Crowdfunding!D:D, "&gt;=50000", Crowdfunding!F:F, "canceled")</f>
        <v>28</v>
      </c>
      <c r="E13">
        <f t="shared" si="0"/>
        <v>305</v>
      </c>
      <c r="F13" s="4">
        <f t="shared" si="1"/>
        <v>0.3737704918032787</v>
      </c>
      <c r="G13" s="4">
        <f t="shared" si="2"/>
        <v>0.53442622950819674</v>
      </c>
      <c r="H13" s="4">
        <f t="shared" si="3"/>
        <v>0.5490196078431373</v>
      </c>
    </row>
    <row r="15" spans="1:8" x14ac:dyDescent="0.25">
      <c r="A15" s="6" t="s">
        <v>2033</v>
      </c>
      <c r="B15" t="s">
        <v>2107</v>
      </c>
      <c r="C15" t="s">
        <v>2108</v>
      </c>
      <c r="D15" t="s">
        <v>2109</v>
      </c>
      <c r="F15"/>
      <c r="G15"/>
      <c r="H15"/>
    </row>
    <row r="16" spans="1:8" x14ac:dyDescent="0.25">
      <c r="A16" s="7" t="s">
        <v>2096</v>
      </c>
      <c r="B16">
        <v>0.82683982683982682</v>
      </c>
      <c r="C16">
        <v>0.16450216450216451</v>
      </c>
      <c r="D16">
        <v>3.9215686274509803E-2</v>
      </c>
      <c r="F16"/>
      <c r="G16"/>
      <c r="H16"/>
    </row>
    <row r="17" spans="1:8" x14ac:dyDescent="0.25">
      <c r="A17" s="7" t="s">
        <v>2098</v>
      </c>
      <c r="B17">
        <v>0.44444444444444442</v>
      </c>
      <c r="C17">
        <v>0.55555555555555558</v>
      </c>
      <c r="D17">
        <v>0</v>
      </c>
      <c r="F17"/>
      <c r="G17"/>
      <c r="H17"/>
    </row>
    <row r="18" spans="1:8" x14ac:dyDescent="0.25">
      <c r="A18" s="7" t="s">
        <v>2099</v>
      </c>
      <c r="B18">
        <v>1</v>
      </c>
      <c r="C18">
        <v>0</v>
      </c>
      <c r="D18">
        <v>0</v>
      </c>
      <c r="F18"/>
      <c r="G18"/>
      <c r="H18"/>
    </row>
    <row r="19" spans="1:8" x14ac:dyDescent="0.25">
      <c r="A19" s="7" t="s">
        <v>2100</v>
      </c>
      <c r="B19">
        <v>1</v>
      </c>
      <c r="C19">
        <v>0</v>
      </c>
      <c r="D19">
        <v>0</v>
      </c>
      <c r="F19"/>
      <c r="G19"/>
      <c r="H19"/>
    </row>
    <row r="20" spans="1:8" x14ac:dyDescent="0.25">
      <c r="A20" s="7" t="s">
        <v>2101</v>
      </c>
      <c r="B20">
        <v>0.7857142857142857</v>
      </c>
      <c r="C20">
        <v>0.21428571428571427</v>
      </c>
      <c r="D20">
        <v>0</v>
      </c>
      <c r="F20"/>
      <c r="G20"/>
      <c r="H20"/>
    </row>
    <row r="21" spans="1:8" x14ac:dyDescent="0.25">
      <c r="A21" s="7" t="s">
        <v>2102</v>
      </c>
      <c r="B21">
        <v>1</v>
      </c>
      <c r="C21">
        <v>0</v>
      </c>
      <c r="D21">
        <v>0</v>
      </c>
      <c r="F21"/>
      <c r="G21"/>
      <c r="H21"/>
    </row>
    <row r="22" spans="1:8" x14ac:dyDescent="0.25">
      <c r="A22" s="7" t="s">
        <v>2103</v>
      </c>
      <c r="B22">
        <v>0.66666666666666663</v>
      </c>
      <c r="C22">
        <v>0.25</v>
      </c>
      <c r="D22">
        <v>1.9607843137254902E-2</v>
      </c>
      <c r="F22"/>
      <c r="G22"/>
      <c r="H22"/>
    </row>
    <row r="23" spans="1:8" x14ac:dyDescent="0.25">
      <c r="A23" s="7" t="s">
        <v>2104</v>
      </c>
      <c r="B23">
        <v>0.7857142857142857</v>
      </c>
      <c r="C23">
        <v>0.21428571428571427</v>
      </c>
      <c r="D23">
        <v>0</v>
      </c>
      <c r="F23"/>
      <c r="G23"/>
      <c r="H23"/>
    </row>
    <row r="24" spans="1:8" x14ac:dyDescent="0.25">
      <c r="A24" s="7" t="s">
        <v>2105</v>
      </c>
      <c r="B24">
        <v>0.72727272727272729</v>
      </c>
      <c r="C24">
        <v>0.27272727272727271</v>
      </c>
      <c r="D24">
        <v>0</v>
      </c>
      <c r="F24"/>
      <c r="G24"/>
      <c r="H24"/>
    </row>
    <row r="25" spans="1:8" x14ac:dyDescent="0.25">
      <c r="A25" s="7" t="s">
        <v>2097</v>
      </c>
      <c r="B25">
        <v>0.52063492063492067</v>
      </c>
      <c r="C25">
        <v>0.4</v>
      </c>
      <c r="D25">
        <v>0.49019607843137253</v>
      </c>
      <c r="F25"/>
      <c r="G25"/>
      <c r="H25"/>
    </row>
    <row r="26" spans="1:8" x14ac:dyDescent="0.25">
      <c r="A26" s="7" t="s">
        <v>2106</v>
      </c>
      <c r="B26">
        <v>0.3737704918032787</v>
      </c>
      <c r="C26">
        <v>0.53442622950819674</v>
      </c>
      <c r="D26">
        <v>0.5490196078431373</v>
      </c>
      <c r="F26"/>
      <c r="G26"/>
      <c r="H26"/>
    </row>
    <row r="27" spans="1:8" x14ac:dyDescent="0.25">
      <c r="A27" s="7" t="s">
        <v>2095</v>
      </c>
      <c r="B27">
        <v>0.58823529411764708</v>
      </c>
      <c r="C27">
        <v>0.39215686274509803</v>
      </c>
      <c r="D27">
        <v>1.9607843137254902E-2</v>
      </c>
      <c r="F27"/>
      <c r="G27"/>
      <c r="H27"/>
    </row>
    <row r="28" spans="1:8" x14ac:dyDescent="0.25">
      <c r="A28" s="7" t="s">
        <v>2035</v>
      </c>
      <c r="B28">
        <v>8.7192929432080835</v>
      </c>
      <c r="C28">
        <v>2.9979395136097158</v>
      </c>
      <c r="D28">
        <v>1.1176470588235294</v>
      </c>
      <c r="F28"/>
      <c r="G28"/>
      <c r="H28"/>
    </row>
    <row r="29" spans="1:8" x14ac:dyDescent="0.25">
      <c r="F29"/>
      <c r="G29"/>
      <c r="H29"/>
    </row>
    <row r="30" spans="1:8" x14ac:dyDescent="0.25">
      <c r="F30"/>
      <c r="G30"/>
      <c r="H30"/>
    </row>
    <row r="31" spans="1:8" x14ac:dyDescent="0.25">
      <c r="F31"/>
      <c r="G31"/>
      <c r="H31"/>
    </row>
    <row r="32" spans="1:8" x14ac:dyDescent="0.25">
      <c r="F32"/>
      <c r="G32"/>
      <c r="H32"/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84B1-B968-4447-AE85-ECD810FBA40C}">
  <sheetPr codeName="Sheet6"/>
  <dimension ref="A1:J566"/>
  <sheetViews>
    <sheetView tabSelected="1" workbookViewId="0">
      <selection activeCell="H11" sqref="H11"/>
    </sheetView>
  </sheetViews>
  <sheetFormatPr defaultColWidth="40.75" defaultRowHeight="15.75" x14ac:dyDescent="0.25"/>
  <cols>
    <col min="1" max="1" width="8.875" customWidth="1"/>
    <col min="2" max="2" width="12" customWidth="1"/>
    <col min="3" max="3" width="16.375" bestFit="1" customWidth="1"/>
    <col min="4" max="4" width="12" customWidth="1"/>
    <col min="5" max="5" width="9.75" customWidth="1"/>
    <col min="6" max="6" width="7.625" customWidth="1"/>
    <col min="8" max="8" width="13.625" customWidth="1"/>
  </cols>
  <sheetData>
    <row r="1" spans="1:10" x14ac:dyDescent="0.25">
      <c r="A1" t="s">
        <v>2110</v>
      </c>
      <c r="E1" t="s">
        <v>2111</v>
      </c>
    </row>
    <row r="2" spans="1:10" x14ac:dyDescent="0.25">
      <c r="A2">
        <v>1400</v>
      </c>
      <c r="B2" t="s">
        <v>20</v>
      </c>
      <c r="C2" t="s">
        <v>2112</v>
      </c>
      <c r="D2">
        <f>ROUND(AVERAGE(A2:A1001), 0)</f>
        <v>26405</v>
      </c>
      <c r="E2">
        <v>100</v>
      </c>
      <c r="F2" t="s">
        <v>14</v>
      </c>
      <c r="G2" t="s">
        <v>2112</v>
      </c>
      <c r="H2">
        <f>ROUND(AVERAGE(E:E), 0)</f>
        <v>65404</v>
      </c>
      <c r="J2" t="s">
        <v>2118</v>
      </c>
    </row>
    <row r="3" spans="1:10" ht="63" x14ac:dyDescent="0.25">
      <c r="A3">
        <v>108400</v>
      </c>
      <c r="B3" t="s">
        <v>20</v>
      </c>
      <c r="C3" t="s">
        <v>2113</v>
      </c>
      <c r="D3">
        <f>MEDIAN(A2:A1001)</f>
        <v>6200</v>
      </c>
      <c r="E3">
        <v>4200</v>
      </c>
      <c r="F3" t="s">
        <v>14</v>
      </c>
      <c r="G3" t="s">
        <v>2113</v>
      </c>
      <c r="H3">
        <f>MEDIAN(E:E)</f>
        <v>9900</v>
      </c>
      <c r="J3" s="12" t="s">
        <v>2119</v>
      </c>
    </row>
    <row r="4" spans="1:10" x14ac:dyDescent="0.25">
      <c r="A4">
        <v>7600</v>
      </c>
      <c r="B4" t="s">
        <v>20</v>
      </c>
      <c r="C4" t="s">
        <v>2114</v>
      </c>
      <c r="D4">
        <f>MIN(A2:A1001)</f>
        <v>600</v>
      </c>
      <c r="E4">
        <v>7600</v>
      </c>
      <c r="F4" t="s">
        <v>14</v>
      </c>
      <c r="G4" t="s">
        <v>2114</v>
      </c>
      <c r="H4">
        <f>MIN(E:E)</f>
        <v>100</v>
      </c>
    </row>
    <row r="5" spans="1:10" x14ac:dyDescent="0.25">
      <c r="A5">
        <v>4500</v>
      </c>
      <c r="B5" t="s">
        <v>20</v>
      </c>
      <c r="C5" t="s">
        <v>2115</v>
      </c>
      <c r="D5">
        <f>MAX(A2:A1001)</f>
        <v>196900</v>
      </c>
      <c r="E5">
        <v>5200</v>
      </c>
      <c r="F5" t="s">
        <v>14</v>
      </c>
      <c r="G5" t="s">
        <v>2115</v>
      </c>
      <c r="H5">
        <f>MAX(E:E)</f>
        <v>199200</v>
      </c>
    </row>
    <row r="6" spans="1:10" x14ac:dyDescent="0.25">
      <c r="A6">
        <v>5200</v>
      </c>
      <c r="B6" t="s">
        <v>20</v>
      </c>
      <c r="C6" t="s">
        <v>2116</v>
      </c>
      <c r="D6">
        <f>_xlfn.VAR.P(A:A)</f>
        <v>1656349600.1253035</v>
      </c>
      <c r="E6">
        <v>6200</v>
      </c>
      <c r="F6" t="s">
        <v>14</v>
      </c>
      <c r="G6" t="s">
        <v>2116</v>
      </c>
      <c r="H6">
        <f>_xlfn.VAR.P(E:E)</f>
        <v>4870417597.1350079</v>
      </c>
    </row>
    <row r="7" spans="1:10" x14ac:dyDescent="0.25">
      <c r="A7">
        <v>4200</v>
      </c>
      <c r="B7" t="s">
        <v>20</v>
      </c>
      <c r="C7" t="s">
        <v>2117</v>
      </c>
      <c r="D7">
        <f>_xlfn.STDEV.P(A:A)</f>
        <v>40698.275149265275</v>
      </c>
      <c r="E7">
        <v>6300</v>
      </c>
      <c r="F7" t="s">
        <v>14</v>
      </c>
      <c r="G7" t="s">
        <v>2117</v>
      </c>
      <c r="H7">
        <f>_xlfn.STDEV.P(E:E)</f>
        <v>69788.377235289023</v>
      </c>
    </row>
    <row r="8" spans="1:10" x14ac:dyDescent="0.25">
      <c r="A8">
        <v>1700</v>
      </c>
      <c r="B8" t="s">
        <v>20</v>
      </c>
      <c r="E8">
        <v>6300</v>
      </c>
      <c r="F8" t="s">
        <v>14</v>
      </c>
    </row>
    <row r="9" spans="1:10" x14ac:dyDescent="0.25">
      <c r="A9">
        <v>84600</v>
      </c>
      <c r="B9" t="s">
        <v>20</v>
      </c>
      <c r="E9">
        <v>28200</v>
      </c>
      <c r="F9" t="s">
        <v>14</v>
      </c>
    </row>
    <row r="10" spans="1:10" x14ac:dyDescent="0.25">
      <c r="A10">
        <v>131800</v>
      </c>
      <c r="B10" t="s">
        <v>20</v>
      </c>
      <c r="E10">
        <v>81200</v>
      </c>
      <c r="F10" t="s">
        <v>14</v>
      </c>
    </row>
    <row r="11" spans="1:10" x14ac:dyDescent="0.25">
      <c r="A11">
        <v>59100</v>
      </c>
      <c r="B11" t="s">
        <v>20</v>
      </c>
      <c r="E11">
        <v>62500</v>
      </c>
      <c r="F11" t="s">
        <v>14</v>
      </c>
    </row>
    <row r="12" spans="1:10" x14ac:dyDescent="0.25">
      <c r="A12">
        <v>4500</v>
      </c>
      <c r="B12" t="s">
        <v>20</v>
      </c>
      <c r="E12">
        <v>94000</v>
      </c>
      <c r="F12" t="s">
        <v>14</v>
      </c>
    </row>
    <row r="13" spans="1:10" x14ac:dyDescent="0.25">
      <c r="A13">
        <v>92400</v>
      </c>
      <c r="B13" t="s">
        <v>20</v>
      </c>
      <c r="E13">
        <v>2000</v>
      </c>
      <c r="F13" t="s">
        <v>14</v>
      </c>
    </row>
    <row r="14" spans="1:10" x14ac:dyDescent="0.25">
      <c r="A14">
        <v>5500</v>
      </c>
      <c r="B14" t="s">
        <v>20</v>
      </c>
      <c r="E14">
        <v>101000</v>
      </c>
      <c r="F14" t="s">
        <v>14</v>
      </c>
    </row>
    <row r="15" spans="1:10" x14ac:dyDescent="0.25">
      <c r="A15">
        <v>130800</v>
      </c>
      <c r="B15" t="s">
        <v>20</v>
      </c>
      <c r="E15">
        <v>9900</v>
      </c>
      <c r="F15" t="s">
        <v>14</v>
      </c>
    </row>
    <row r="16" spans="1:10" x14ac:dyDescent="0.25">
      <c r="A16">
        <v>45900</v>
      </c>
      <c r="B16" t="s">
        <v>20</v>
      </c>
      <c r="E16">
        <v>9500</v>
      </c>
      <c r="F16" t="s">
        <v>14</v>
      </c>
    </row>
    <row r="17" spans="1:6" x14ac:dyDescent="0.25">
      <c r="A17">
        <v>9000</v>
      </c>
      <c r="B17" t="s">
        <v>20</v>
      </c>
      <c r="E17">
        <v>100</v>
      </c>
      <c r="F17" t="s">
        <v>14</v>
      </c>
    </row>
    <row r="18" spans="1:6" x14ac:dyDescent="0.25">
      <c r="A18">
        <v>3500</v>
      </c>
      <c r="B18" t="s">
        <v>20</v>
      </c>
      <c r="E18">
        <v>158100</v>
      </c>
      <c r="F18" t="s">
        <v>14</v>
      </c>
    </row>
    <row r="19" spans="1:6" x14ac:dyDescent="0.25">
      <c r="A19">
        <v>50200</v>
      </c>
      <c r="B19" t="s">
        <v>20</v>
      </c>
      <c r="E19">
        <v>7200</v>
      </c>
      <c r="F19" t="s">
        <v>14</v>
      </c>
    </row>
    <row r="20" spans="1:6" x14ac:dyDescent="0.25">
      <c r="A20">
        <v>9300</v>
      </c>
      <c r="B20" t="s">
        <v>20</v>
      </c>
      <c r="E20">
        <v>6000</v>
      </c>
      <c r="F20" t="s">
        <v>14</v>
      </c>
    </row>
    <row r="21" spans="1:6" x14ac:dyDescent="0.25">
      <c r="A21">
        <v>125500</v>
      </c>
      <c r="B21" t="s">
        <v>20</v>
      </c>
      <c r="E21">
        <v>199200</v>
      </c>
      <c r="F21" t="s">
        <v>14</v>
      </c>
    </row>
    <row r="22" spans="1:6" x14ac:dyDescent="0.25">
      <c r="A22">
        <v>700</v>
      </c>
      <c r="B22" t="s">
        <v>20</v>
      </c>
      <c r="E22">
        <v>4700</v>
      </c>
      <c r="F22" t="s">
        <v>14</v>
      </c>
    </row>
    <row r="23" spans="1:6" x14ac:dyDescent="0.25">
      <c r="A23">
        <v>8100</v>
      </c>
      <c r="B23" t="s">
        <v>20</v>
      </c>
      <c r="E23">
        <v>2800</v>
      </c>
      <c r="F23" t="s">
        <v>14</v>
      </c>
    </row>
    <row r="24" spans="1:6" x14ac:dyDescent="0.25">
      <c r="A24">
        <v>3100</v>
      </c>
      <c r="B24" t="s">
        <v>20</v>
      </c>
      <c r="E24">
        <v>2900</v>
      </c>
      <c r="F24" t="s">
        <v>14</v>
      </c>
    </row>
    <row r="25" spans="1:6" x14ac:dyDescent="0.25">
      <c r="A25">
        <v>8800</v>
      </c>
      <c r="B25" t="s">
        <v>20</v>
      </c>
      <c r="E25">
        <v>122900</v>
      </c>
      <c r="F25" t="s">
        <v>14</v>
      </c>
    </row>
    <row r="26" spans="1:6" x14ac:dyDescent="0.25">
      <c r="A26">
        <v>5600</v>
      </c>
      <c r="B26" t="s">
        <v>20</v>
      </c>
      <c r="E26">
        <v>9500</v>
      </c>
      <c r="F26" t="s">
        <v>14</v>
      </c>
    </row>
    <row r="27" spans="1:6" x14ac:dyDescent="0.25">
      <c r="A27">
        <v>1800</v>
      </c>
      <c r="B27" t="s">
        <v>20</v>
      </c>
      <c r="E27">
        <v>57800</v>
      </c>
      <c r="F27" t="s">
        <v>14</v>
      </c>
    </row>
    <row r="28" spans="1:6" x14ac:dyDescent="0.25">
      <c r="A28">
        <v>90200</v>
      </c>
      <c r="B28" t="s">
        <v>20</v>
      </c>
      <c r="E28">
        <v>106400</v>
      </c>
      <c r="F28" t="s">
        <v>14</v>
      </c>
    </row>
    <row r="29" spans="1:6" x14ac:dyDescent="0.25">
      <c r="A29">
        <v>1600</v>
      </c>
      <c r="B29" t="s">
        <v>20</v>
      </c>
      <c r="E29">
        <v>198500</v>
      </c>
      <c r="F29" t="s">
        <v>14</v>
      </c>
    </row>
    <row r="30" spans="1:6" x14ac:dyDescent="0.25">
      <c r="A30">
        <v>3700</v>
      </c>
      <c r="B30" t="s">
        <v>20</v>
      </c>
      <c r="E30">
        <v>7800</v>
      </c>
      <c r="F30" t="s">
        <v>14</v>
      </c>
    </row>
    <row r="31" spans="1:6" x14ac:dyDescent="0.25">
      <c r="A31">
        <v>1500</v>
      </c>
      <c r="B31" t="s">
        <v>20</v>
      </c>
      <c r="E31">
        <v>154300</v>
      </c>
      <c r="F31" t="s">
        <v>14</v>
      </c>
    </row>
    <row r="32" spans="1:6" x14ac:dyDescent="0.25">
      <c r="A32">
        <v>33300</v>
      </c>
      <c r="B32" t="s">
        <v>20</v>
      </c>
      <c r="E32">
        <v>97800</v>
      </c>
      <c r="F32" t="s">
        <v>14</v>
      </c>
    </row>
    <row r="33" spans="1:6" x14ac:dyDescent="0.25">
      <c r="A33">
        <v>7200</v>
      </c>
      <c r="B33" t="s">
        <v>20</v>
      </c>
      <c r="E33">
        <v>100</v>
      </c>
      <c r="F33" t="s">
        <v>14</v>
      </c>
    </row>
    <row r="34" spans="1:6" x14ac:dyDescent="0.25">
      <c r="A34">
        <v>8800</v>
      </c>
      <c r="B34" t="s">
        <v>20</v>
      </c>
      <c r="E34">
        <v>10000</v>
      </c>
      <c r="F34" t="s">
        <v>14</v>
      </c>
    </row>
    <row r="35" spans="1:6" x14ac:dyDescent="0.25">
      <c r="A35">
        <v>6600</v>
      </c>
      <c r="B35" t="s">
        <v>20</v>
      </c>
      <c r="E35">
        <v>5200</v>
      </c>
      <c r="F35" t="s">
        <v>14</v>
      </c>
    </row>
    <row r="36" spans="1:6" x14ac:dyDescent="0.25">
      <c r="A36">
        <v>8000</v>
      </c>
      <c r="B36" t="s">
        <v>20</v>
      </c>
      <c r="E36">
        <v>142400</v>
      </c>
      <c r="F36" t="s">
        <v>14</v>
      </c>
    </row>
    <row r="37" spans="1:6" x14ac:dyDescent="0.25">
      <c r="A37">
        <v>2900</v>
      </c>
      <c r="B37" t="s">
        <v>20</v>
      </c>
      <c r="E37">
        <v>166700</v>
      </c>
      <c r="F37" t="s">
        <v>14</v>
      </c>
    </row>
    <row r="38" spans="1:6" x14ac:dyDescent="0.25">
      <c r="A38">
        <v>2700</v>
      </c>
      <c r="B38" t="s">
        <v>20</v>
      </c>
      <c r="E38">
        <v>7200</v>
      </c>
      <c r="F38" t="s">
        <v>14</v>
      </c>
    </row>
    <row r="39" spans="1:6" x14ac:dyDescent="0.25">
      <c r="A39">
        <v>1400</v>
      </c>
      <c r="B39" t="s">
        <v>20</v>
      </c>
      <c r="E39">
        <v>136800</v>
      </c>
      <c r="F39" t="s">
        <v>14</v>
      </c>
    </row>
    <row r="40" spans="1:6" x14ac:dyDescent="0.25">
      <c r="A40">
        <v>94200</v>
      </c>
      <c r="B40" t="s">
        <v>20</v>
      </c>
      <c r="E40">
        <v>177700</v>
      </c>
      <c r="F40" t="s">
        <v>14</v>
      </c>
    </row>
    <row r="41" spans="1:6" x14ac:dyDescent="0.25">
      <c r="A41">
        <v>2000</v>
      </c>
      <c r="B41" t="s">
        <v>20</v>
      </c>
      <c r="E41">
        <v>180200</v>
      </c>
      <c r="F41" t="s">
        <v>14</v>
      </c>
    </row>
    <row r="42" spans="1:6" x14ac:dyDescent="0.25">
      <c r="A42">
        <v>6100</v>
      </c>
      <c r="B42" t="s">
        <v>20</v>
      </c>
      <c r="E42">
        <v>103200</v>
      </c>
      <c r="F42" t="s">
        <v>14</v>
      </c>
    </row>
    <row r="43" spans="1:6" x14ac:dyDescent="0.25">
      <c r="A43">
        <v>72600</v>
      </c>
      <c r="B43" t="s">
        <v>20</v>
      </c>
      <c r="E43">
        <v>99500</v>
      </c>
      <c r="F43" t="s">
        <v>14</v>
      </c>
    </row>
    <row r="44" spans="1:6" x14ac:dyDescent="0.25">
      <c r="A44">
        <v>5700</v>
      </c>
      <c r="B44" t="s">
        <v>20</v>
      </c>
      <c r="E44">
        <v>7700</v>
      </c>
      <c r="F44" t="s">
        <v>14</v>
      </c>
    </row>
    <row r="45" spans="1:6" x14ac:dyDescent="0.25">
      <c r="A45">
        <v>128000</v>
      </c>
      <c r="B45" t="s">
        <v>20</v>
      </c>
      <c r="E45">
        <v>9600</v>
      </c>
      <c r="F45" t="s">
        <v>14</v>
      </c>
    </row>
    <row r="46" spans="1:6" x14ac:dyDescent="0.25">
      <c r="A46">
        <v>6000</v>
      </c>
      <c r="B46" t="s">
        <v>20</v>
      </c>
      <c r="E46">
        <v>92100</v>
      </c>
      <c r="F46" t="s">
        <v>14</v>
      </c>
    </row>
    <row r="47" spans="1:6" x14ac:dyDescent="0.25">
      <c r="A47">
        <v>600</v>
      </c>
      <c r="B47" t="s">
        <v>20</v>
      </c>
      <c r="E47">
        <v>100</v>
      </c>
      <c r="F47" t="s">
        <v>14</v>
      </c>
    </row>
    <row r="48" spans="1:6" x14ac:dyDescent="0.25">
      <c r="A48">
        <v>1400</v>
      </c>
      <c r="B48" t="s">
        <v>20</v>
      </c>
      <c r="E48">
        <v>137200</v>
      </c>
      <c r="F48" t="s">
        <v>14</v>
      </c>
    </row>
    <row r="49" spans="1:6" x14ac:dyDescent="0.25">
      <c r="A49">
        <v>3900</v>
      </c>
      <c r="B49" t="s">
        <v>20</v>
      </c>
      <c r="E49">
        <v>189400</v>
      </c>
      <c r="F49" t="s">
        <v>14</v>
      </c>
    </row>
    <row r="50" spans="1:6" x14ac:dyDescent="0.25">
      <c r="A50">
        <v>9700</v>
      </c>
      <c r="B50" t="s">
        <v>20</v>
      </c>
      <c r="E50">
        <v>171300</v>
      </c>
      <c r="F50" t="s">
        <v>14</v>
      </c>
    </row>
    <row r="51" spans="1:6" x14ac:dyDescent="0.25">
      <c r="A51">
        <v>4500</v>
      </c>
      <c r="B51" t="s">
        <v>20</v>
      </c>
      <c r="E51">
        <v>139500</v>
      </c>
      <c r="F51" t="s">
        <v>14</v>
      </c>
    </row>
    <row r="52" spans="1:6" x14ac:dyDescent="0.25">
      <c r="A52">
        <v>1100</v>
      </c>
      <c r="B52" t="s">
        <v>20</v>
      </c>
      <c r="E52">
        <v>4200</v>
      </c>
      <c r="F52" t="s">
        <v>14</v>
      </c>
    </row>
    <row r="53" spans="1:6" x14ac:dyDescent="0.25">
      <c r="A53">
        <v>16800</v>
      </c>
      <c r="B53" t="s">
        <v>20</v>
      </c>
      <c r="E53">
        <v>5500</v>
      </c>
      <c r="F53" t="s">
        <v>14</v>
      </c>
    </row>
    <row r="54" spans="1:6" x14ac:dyDescent="0.25">
      <c r="A54">
        <v>1000</v>
      </c>
      <c r="B54" t="s">
        <v>20</v>
      </c>
      <c r="E54">
        <v>128100</v>
      </c>
      <c r="F54" t="s">
        <v>14</v>
      </c>
    </row>
    <row r="55" spans="1:6" x14ac:dyDescent="0.25">
      <c r="A55">
        <v>31400</v>
      </c>
      <c r="B55" t="s">
        <v>20</v>
      </c>
      <c r="E55">
        <v>188100</v>
      </c>
      <c r="F55" t="s">
        <v>14</v>
      </c>
    </row>
    <row r="56" spans="1:6" x14ac:dyDescent="0.25">
      <c r="A56">
        <v>4900</v>
      </c>
      <c r="B56" t="s">
        <v>20</v>
      </c>
      <c r="E56">
        <v>4900</v>
      </c>
      <c r="F56" t="s">
        <v>14</v>
      </c>
    </row>
    <row r="57" spans="1:6" x14ac:dyDescent="0.25">
      <c r="A57">
        <v>7400</v>
      </c>
      <c r="B57" t="s">
        <v>20</v>
      </c>
      <c r="E57">
        <v>800</v>
      </c>
      <c r="F57" t="s">
        <v>14</v>
      </c>
    </row>
    <row r="58" spans="1:6" x14ac:dyDescent="0.25">
      <c r="A58">
        <v>4800</v>
      </c>
      <c r="B58" t="s">
        <v>20</v>
      </c>
      <c r="E58">
        <v>181200</v>
      </c>
      <c r="F58" t="s">
        <v>14</v>
      </c>
    </row>
    <row r="59" spans="1:6" x14ac:dyDescent="0.25">
      <c r="A59">
        <v>3400</v>
      </c>
      <c r="B59" t="s">
        <v>20</v>
      </c>
      <c r="E59">
        <v>115000</v>
      </c>
      <c r="F59" t="s">
        <v>14</v>
      </c>
    </row>
    <row r="60" spans="1:6" x14ac:dyDescent="0.25">
      <c r="A60">
        <v>20000</v>
      </c>
      <c r="B60" t="s">
        <v>20</v>
      </c>
      <c r="E60">
        <v>7200</v>
      </c>
      <c r="F60" t="s">
        <v>14</v>
      </c>
    </row>
    <row r="61" spans="1:6" x14ac:dyDescent="0.25">
      <c r="A61">
        <v>2900</v>
      </c>
      <c r="B61" t="s">
        <v>20</v>
      </c>
      <c r="E61">
        <v>8600</v>
      </c>
      <c r="F61" t="s">
        <v>14</v>
      </c>
    </row>
    <row r="62" spans="1:6" x14ac:dyDescent="0.25">
      <c r="A62">
        <v>900</v>
      </c>
      <c r="B62" t="s">
        <v>20</v>
      </c>
      <c r="E62">
        <v>5100</v>
      </c>
      <c r="F62" t="s">
        <v>14</v>
      </c>
    </row>
    <row r="63" spans="1:6" x14ac:dyDescent="0.25">
      <c r="A63">
        <v>69700</v>
      </c>
      <c r="B63" t="s">
        <v>20</v>
      </c>
      <c r="E63">
        <v>1000</v>
      </c>
      <c r="F63" t="s">
        <v>14</v>
      </c>
    </row>
    <row r="64" spans="1:6" x14ac:dyDescent="0.25">
      <c r="A64">
        <v>1300</v>
      </c>
      <c r="B64" t="s">
        <v>20</v>
      </c>
      <c r="E64">
        <v>88800</v>
      </c>
      <c r="F64" t="s">
        <v>14</v>
      </c>
    </row>
    <row r="65" spans="1:6" x14ac:dyDescent="0.25">
      <c r="A65">
        <v>7600</v>
      </c>
      <c r="B65" t="s">
        <v>20</v>
      </c>
      <c r="E65">
        <v>8200</v>
      </c>
      <c r="F65" t="s">
        <v>14</v>
      </c>
    </row>
    <row r="66" spans="1:6" x14ac:dyDescent="0.25">
      <c r="A66">
        <v>900</v>
      </c>
      <c r="B66" t="s">
        <v>20</v>
      </c>
      <c r="E66">
        <v>3700</v>
      </c>
      <c r="F66" t="s">
        <v>14</v>
      </c>
    </row>
    <row r="67" spans="1:6" x14ac:dyDescent="0.25">
      <c r="A67">
        <v>3700</v>
      </c>
      <c r="B67" t="s">
        <v>20</v>
      </c>
      <c r="E67">
        <v>8400</v>
      </c>
      <c r="F67" t="s">
        <v>14</v>
      </c>
    </row>
    <row r="68" spans="1:6" x14ac:dyDescent="0.25">
      <c r="A68">
        <v>119200</v>
      </c>
      <c r="B68" t="s">
        <v>20</v>
      </c>
      <c r="E68">
        <v>42600</v>
      </c>
      <c r="F68" t="s">
        <v>14</v>
      </c>
    </row>
    <row r="69" spans="1:6" x14ac:dyDescent="0.25">
      <c r="A69">
        <v>6800</v>
      </c>
      <c r="B69" t="s">
        <v>20</v>
      </c>
      <c r="E69">
        <v>6600</v>
      </c>
      <c r="F69" t="s">
        <v>14</v>
      </c>
    </row>
    <row r="70" spans="1:6" x14ac:dyDescent="0.25">
      <c r="A70">
        <v>3900</v>
      </c>
      <c r="B70" t="s">
        <v>20</v>
      </c>
      <c r="E70">
        <v>8200</v>
      </c>
      <c r="F70" t="s">
        <v>14</v>
      </c>
    </row>
    <row r="71" spans="1:6" x14ac:dyDescent="0.25">
      <c r="A71">
        <v>3500</v>
      </c>
      <c r="B71" t="s">
        <v>20</v>
      </c>
      <c r="E71">
        <v>63200</v>
      </c>
      <c r="F71" t="s">
        <v>14</v>
      </c>
    </row>
    <row r="72" spans="1:6" x14ac:dyDescent="0.25">
      <c r="A72">
        <v>1500</v>
      </c>
      <c r="B72" t="s">
        <v>20</v>
      </c>
      <c r="E72">
        <v>1800</v>
      </c>
      <c r="F72" t="s">
        <v>14</v>
      </c>
    </row>
    <row r="73" spans="1:6" x14ac:dyDescent="0.25">
      <c r="A73">
        <v>61400</v>
      </c>
      <c r="B73" t="s">
        <v>20</v>
      </c>
      <c r="E73">
        <v>100</v>
      </c>
      <c r="F73" t="s">
        <v>14</v>
      </c>
    </row>
    <row r="74" spans="1:6" x14ac:dyDescent="0.25">
      <c r="A74">
        <v>4700</v>
      </c>
      <c r="B74" t="s">
        <v>20</v>
      </c>
      <c r="E74">
        <v>75000</v>
      </c>
      <c r="F74" t="s">
        <v>14</v>
      </c>
    </row>
    <row r="75" spans="1:6" x14ac:dyDescent="0.25">
      <c r="A75">
        <v>3300</v>
      </c>
      <c r="B75" t="s">
        <v>20</v>
      </c>
      <c r="E75">
        <v>9400</v>
      </c>
      <c r="F75" t="s">
        <v>14</v>
      </c>
    </row>
    <row r="76" spans="1:6" x14ac:dyDescent="0.25">
      <c r="A76">
        <v>1900</v>
      </c>
      <c r="B76" t="s">
        <v>20</v>
      </c>
      <c r="E76">
        <v>104400</v>
      </c>
      <c r="F76" t="s">
        <v>14</v>
      </c>
    </row>
    <row r="77" spans="1:6" x14ac:dyDescent="0.25">
      <c r="A77">
        <v>4900</v>
      </c>
      <c r="B77" t="s">
        <v>20</v>
      </c>
      <c r="E77">
        <v>156800</v>
      </c>
      <c r="F77" t="s">
        <v>14</v>
      </c>
    </row>
    <row r="78" spans="1:6" x14ac:dyDescent="0.25">
      <c r="A78">
        <v>5400</v>
      </c>
      <c r="B78" t="s">
        <v>20</v>
      </c>
      <c r="E78">
        <v>129400</v>
      </c>
      <c r="F78" t="s">
        <v>14</v>
      </c>
    </row>
    <row r="79" spans="1:6" x14ac:dyDescent="0.25">
      <c r="A79">
        <v>5000</v>
      </c>
      <c r="B79" t="s">
        <v>20</v>
      </c>
      <c r="E79">
        <v>7900</v>
      </c>
      <c r="F79" t="s">
        <v>14</v>
      </c>
    </row>
    <row r="80" spans="1:6" x14ac:dyDescent="0.25">
      <c r="A80">
        <v>75100</v>
      </c>
      <c r="B80" t="s">
        <v>20</v>
      </c>
      <c r="E80">
        <v>121500</v>
      </c>
      <c r="F80" t="s">
        <v>14</v>
      </c>
    </row>
    <row r="81" spans="1:6" x14ac:dyDescent="0.25">
      <c r="A81">
        <v>45300</v>
      </c>
      <c r="B81" t="s">
        <v>20</v>
      </c>
      <c r="E81">
        <v>87300</v>
      </c>
      <c r="F81" t="s">
        <v>14</v>
      </c>
    </row>
    <row r="82" spans="1:6" x14ac:dyDescent="0.25">
      <c r="A82">
        <v>2600</v>
      </c>
      <c r="B82" t="s">
        <v>20</v>
      </c>
      <c r="E82">
        <v>8600</v>
      </c>
      <c r="F82" t="s">
        <v>14</v>
      </c>
    </row>
    <row r="83" spans="1:6" x14ac:dyDescent="0.25">
      <c r="A83">
        <v>5300</v>
      </c>
      <c r="B83" t="s">
        <v>20</v>
      </c>
      <c r="E83">
        <v>39500</v>
      </c>
      <c r="F83" t="s">
        <v>14</v>
      </c>
    </row>
    <row r="84" spans="1:6" x14ac:dyDescent="0.25">
      <c r="A84">
        <v>9600</v>
      </c>
      <c r="B84" t="s">
        <v>20</v>
      </c>
      <c r="E84">
        <v>3200</v>
      </c>
      <c r="F84" t="s">
        <v>14</v>
      </c>
    </row>
    <row r="85" spans="1:6" x14ac:dyDescent="0.25">
      <c r="A85">
        <v>164700</v>
      </c>
      <c r="B85" t="s">
        <v>20</v>
      </c>
      <c r="E85">
        <v>100</v>
      </c>
      <c r="F85" t="s">
        <v>14</v>
      </c>
    </row>
    <row r="86" spans="1:6" x14ac:dyDescent="0.25">
      <c r="A86">
        <v>3300</v>
      </c>
      <c r="B86" t="s">
        <v>20</v>
      </c>
      <c r="E86">
        <v>7100</v>
      </c>
      <c r="F86" t="s">
        <v>14</v>
      </c>
    </row>
    <row r="87" spans="1:6" x14ac:dyDescent="0.25">
      <c r="A87">
        <v>4500</v>
      </c>
      <c r="B87" t="s">
        <v>20</v>
      </c>
      <c r="E87">
        <v>121500</v>
      </c>
      <c r="F87" t="s">
        <v>14</v>
      </c>
    </row>
    <row r="88" spans="1:6" x14ac:dyDescent="0.25">
      <c r="A88">
        <v>1800</v>
      </c>
      <c r="B88" t="s">
        <v>20</v>
      </c>
      <c r="E88">
        <v>4100</v>
      </c>
      <c r="F88" t="s">
        <v>14</v>
      </c>
    </row>
    <row r="89" spans="1:6" x14ac:dyDescent="0.25">
      <c r="A89">
        <v>5500</v>
      </c>
      <c r="B89" t="s">
        <v>20</v>
      </c>
      <c r="E89">
        <v>84300</v>
      </c>
      <c r="F89" t="s">
        <v>14</v>
      </c>
    </row>
    <row r="90" spans="1:6" x14ac:dyDescent="0.25">
      <c r="A90">
        <v>64300</v>
      </c>
      <c r="B90" t="s">
        <v>20</v>
      </c>
      <c r="E90">
        <v>111900</v>
      </c>
      <c r="F90" t="s">
        <v>14</v>
      </c>
    </row>
    <row r="91" spans="1:6" x14ac:dyDescent="0.25">
      <c r="A91">
        <v>5000</v>
      </c>
      <c r="B91" t="s">
        <v>20</v>
      </c>
      <c r="E91">
        <v>2400</v>
      </c>
      <c r="F91" t="s">
        <v>14</v>
      </c>
    </row>
    <row r="92" spans="1:6" x14ac:dyDescent="0.25">
      <c r="A92">
        <v>5400</v>
      </c>
      <c r="B92" t="s">
        <v>20</v>
      </c>
      <c r="E92">
        <v>5500</v>
      </c>
      <c r="F92" t="s">
        <v>14</v>
      </c>
    </row>
    <row r="93" spans="1:6" x14ac:dyDescent="0.25">
      <c r="A93">
        <v>9000</v>
      </c>
      <c r="B93" t="s">
        <v>20</v>
      </c>
      <c r="E93">
        <v>164500</v>
      </c>
      <c r="F93" t="s">
        <v>14</v>
      </c>
    </row>
    <row r="94" spans="1:6" x14ac:dyDescent="0.25">
      <c r="A94">
        <v>25000</v>
      </c>
      <c r="B94" t="s">
        <v>20</v>
      </c>
      <c r="E94">
        <v>8100</v>
      </c>
      <c r="F94" t="s">
        <v>14</v>
      </c>
    </row>
    <row r="95" spans="1:6" x14ac:dyDescent="0.25">
      <c r="A95">
        <v>8300</v>
      </c>
      <c r="B95" t="s">
        <v>20</v>
      </c>
      <c r="E95">
        <v>9800</v>
      </c>
      <c r="F95" t="s">
        <v>14</v>
      </c>
    </row>
    <row r="96" spans="1:6" x14ac:dyDescent="0.25">
      <c r="A96">
        <v>9300</v>
      </c>
      <c r="B96" t="s">
        <v>20</v>
      </c>
      <c r="E96">
        <v>5600</v>
      </c>
      <c r="F96" t="s">
        <v>14</v>
      </c>
    </row>
    <row r="97" spans="1:6" x14ac:dyDescent="0.25">
      <c r="A97">
        <v>6200</v>
      </c>
      <c r="B97" t="s">
        <v>20</v>
      </c>
      <c r="E97">
        <v>168600</v>
      </c>
      <c r="F97" t="s">
        <v>14</v>
      </c>
    </row>
    <row r="98" spans="1:6" x14ac:dyDescent="0.25">
      <c r="A98">
        <v>41500</v>
      </c>
      <c r="B98" t="s">
        <v>20</v>
      </c>
      <c r="E98">
        <v>7300</v>
      </c>
      <c r="F98" t="s">
        <v>14</v>
      </c>
    </row>
    <row r="99" spans="1:6" x14ac:dyDescent="0.25">
      <c r="A99">
        <v>2100</v>
      </c>
      <c r="B99" t="s">
        <v>20</v>
      </c>
      <c r="E99">
        <v>192900</v>
      </c>
      <c r="F99" t="s">
        <v>14</v>
      </c>
    </row>
    <row r="100" spans="1:6" x14ac:dyDescent="0.25">
      <c r="A100">
        <v>191200</v>
      </c>
      <c r="B100" t="s">
        <v>20</v>
      </c>
      <c r="E100">
        <v>6100</v>
      </c>
      <c r="F100" t="s">
        <v>14</v>
      </c>
    </row>
    <row r="101" spans="1:6" x14ac:dyDescent="0.25">
      <c r="A101">
        <v>8000</v>
      </c>
      <c r="B101" t="s">
        <v>20</v>
      </c>
      <c r="E101">
        <v>7200</v>
      </c>
      <c r="F101" t="s">
        <v>14</v>
      </c>
    </row>
    <row r="102" spans="1:6" x14ac:dyDescent="0.25">
      <c r="A102">
        <v>6100</v>
      </c>
      <c r="B102" t="s">
        <v>20</v>
      </c>
      <c r="E102">
        <v>3800</v>
      </c>
      <c r="F102" t="s">
        <v>14</v>
      </c>
    </row>
    <row r="103" spans="1:6" x14ac:dyDescent="0.25">
      <c r="A103">
        <v>3500</v>
      </c>
      <c r="B103" t="s">
        <v>20</v>
      </c>
      <c r="E103">
        <v>100</v>
      </c>
      <c r="F103" t="s">
        <v>14</v>
      </c>
    </row>
    <row r="104" spans="1:6" x14ac:dyDescent="0.25">
      <c r="A104">
        <v>150500</v>
      </c>
      <c r="B104" t="s">
        <v>20</v>
      </c>
      <c r="E104">
        <v>76100</v>
      </c>
      <c r="F104" t="s">
        <v>14</v>
      </c>
    </row>
    <row r="105" spans="1:6" x14ac:dyDescent="0.25">
      <c r="A105">
        <v>90400</v>
      </c>
      <c r="B105" t="s">
        <v>20</v>
      </c>
      <c r="E105">
        <v>3400</v>
      </c>
      <c r="F105" t="s">
        <v>14</v>
      </c>
    </row>
    <row r="106" spans="1:6" x14ac:dyDescent="0.25">
      <c r="A106">
        <v>9800</v>
      </c>
      <c r="B106" t="s">
        <v>20</v>
      </c>
      <c r="E106">
        <v>6500</v>
      </c>
      <c r="F106" t="s">
        <v>14</v>
      </c>
    </row>
    <row r="107" spans="1:6" x14ac:dyDescent="0.25">
      <c r="A107">
        <v>2600</v>
      </c>
      <c r="B107" t="s">
        <v>20</v>
      </c>
      <c r="E107">
        <v>118200</v>
      </c>
      <c r="F107" t="s">
        <v>14</v>
      </c>
    </row>
    <row r="108" spans="1:6" x14ac:dyDescent="0.25">
      <c r="A108">
        <v>23300</v>
      </c>
      <c r="B108" t="s">
        <v>20</v>
      </c>
      <c r="E108">
        <v>7800</v>
      </c>
      <c r="F108" t="s">
        <v>14</v>
      </c>
    </row>
    <row r="109" spans="1:6" x14ac:dyDescent="0.25">
      <c r="A109">
        <v>96700</v>
      </c>
      <c r="B109" t="s">
        <v>20</v>
      </c>
      <c r="E109">
        <v>9500</v>
      </c>
      <c r="F109" t="s">
        <v>14</v>
      </c>
    </row>
    <row r="110" spans="1:6" x14ac:dyDescent="0.25">
      <c r="A110">
        <v>600</v>
      </c>
      <c r="B110" t="s">
        <v>20</v>
      </c>
      <c r="E110">
        <v>9600</v>
      </c>
      <c r="F110" t="s">
        <v>14</v>
      </c>
    </row>
    <row r="111" spans="1:6" x14ac:dyDescent="0.25">
      <c r="A111">
        <v>38800</v>
      </c>
      <c r="B111" t="s">
        <v>20</v>
      </c>
      <c r="E111">
        <v>6600</v>
      </c>
      <c r="F111" t="s">
        <v>14</v>
      </c>
    </row>
    <row r="112" spans="1:6" x14ac:dyDescent="0.25">
      <c r="A112">
        <v>44500</v>
      </c>
      <c r="B112" t="s">
        <v>20</v>
      </c>
      <c r="E112">
        <v>5700</v>
      </c>
      <c r="F112" t="s">
        <v>14</v>
      </c>
    </row>
    <row r="113" spans="1:6" x14ac:dyDescent="0.25">
      <c r="A113">
        <v>56000</v>
      </c>
      <c r="B113" t="s">
        <v>20</v>
      </c>
      <c r="E113">
        <v>84400</v>
      </c>
      <c r="F113" t="s">
        <v>14</v>
      </c>
    </row>
    <row r="114" spans="1:6" x14ac:dyDescent="0.25">
      <c r="A114">
        <v>27100</v>
      </c>
      <c r="B114" t="s">
        <v>20</v>
      </c>
      <c r="E114">
        <v>170400</v>
      </c>
      <c r="F114" t="s">
        <v>14</v>
      </c>
    </row>
    <row r="115" spans="1:6" x14ac:dyDescent="0.25">
      <c r="A115">
        <v>3600</v>
      </c>
      <c r="B115" t="s">
        <v>20</v>
      </c>
      <c r="E115">
        <v>8900</v>
      </c>
      <c r="F115" t="s">
        <v>14</v>
      </c>
    </row>
    <row r="116" spans="1:6" x14ac:dyDescent="0.25">
      <c r="A116">
        <v>60200</v>
      </c>
      <c r="B116" t="s">
        <v>20</v>
      </c>
      <c r="E116">
        <v>6500</v>
      </c>
      <c r="F116" t="s">
        <v>14</v>
      </c>
    </row>
    <row r="117" spans="1:6" x14ac:dyDescent="0.25">
      <c r="A117">
        <v>7100</v>
      </c>
      <c r="B117" t="s">
        <v>20</v>
      </c>
      <c r="E117">
        <v>7200</v>
      </c>
      <c r="F117" t="s">
        <v>14</v>
      </c>
    </row>
    <row r="118" spans="1:6" x14ac:dyDescent="0.25">
      <c r="A118">
        <v>15800</v>
      </c>
      <c r="B118" t="s">
        <v>20</v>
      </c>
      <c r="E118">
        <v>2600</v>
      </c>
      <c r="F118" t="s">
        <v>14</v>
      </c>
    </row>
    <row r="119" spans="1:6" x14ac:dyDescent="0.25">
      <c r="A119">
        <v>54700</v>
      </c>
      <c r="B119" t="s">
        <v>20</v>
      </c>
      <c r="E119">
        <v>70700</v>
      </c>
      <c r="F119" t="s">
        <v>14</v>
      </c>
    </row>
    <row r="120" spans="1:6" x14ac:dyDescent="0.25">
      <c r="A120">
        <v>2100</v>
      </c>
      <c r="B120" t="s">
        <v>20</v>
      </c>
      <c r="E120">
        <v>37100</v>
      </c>
      <c r="F120" t="s">
        <v>14</v>
      </c>
    </row>
    <row r="121" spans="1:6" x14ac:dyDescent="0.25">
      <c r="A121">
        <v>143900</v>
      </c>
      <c r="B121" t="s">
        <v>20</v>
      </c>
      <c r="E121">
        <v>114300</v>
      </c>
      <c r="F121" t="s">
        <v>14</v>
      </c>
    </row>
    <row r="122" spans="1:6" x14ac:dyDescent="0.25">
      <c r="A122">
        <v>1300</v>
      </c>
      <c r="B122" t="s">
        <v>20</v>
      </c>
      <c r="E122">
        <v>47900</v>
      </c>
      <c r="F122" t="s">
        <v>14</v>
      </c>
    </row>
    <row r="123" spans="1:6" x14ac:dyDescent="0.25">
      <c r="A123">
        <v>1000</v>
      </c>
      <c r="B123" t="s">
        <v>20</v>
      </c>
      <c r="E123">
        <v>9000</v>
      </c>
      <c r="F123" t="s">
        <v>14</v>
      </c>
    </row>
    <row r="124" spans="1:6" x14ac:dyDescent="0.25">
      <c r="A124">
        <v>196900</v>
      </c>
      <c r="B124" t="s">
        <v>20</v>
      </c>
      <c r="E124">
        <v>197600</v>
      </c>
      <c r="F124" t="s">
        <v>14</v>
      </c>
    </row>
    <row r="125" spans="1:6" x14ac:dyDescent="0.25">
      <c r="A125">
        <v>8100</v>
      </c>
      <c r="B125" t="s">
        <v>20</v>
      </c>
      <c r="E125">
        <v>157600</v>
      </c>
      <c r="F125" t="s">
        <v>14</v>
      </c>
    </row>
    <row r="126" spans="1:6" x14ac:dyDescent="0.25">
      <c r="A126">
        <v>87900</v>
      </c>
      <c r="B126" t="s">
        <v>20</v>
      </c>
      <c r="E126">
        <v>8000</v>
      </c>
      <c r="F126" t="s">
        <v>14</v>
      </c>
    </row>
    <row r="127" spans="1:6" x14ac:dyDescent="0.25">
      <c r="A127">
        <v>1400</v>
      </c>
      <c r="B127" t="s">
        <v>20</v>
      </c>
      <c r="E127">
        <v>199000</v>
      </c>
      <c r="F127" t="s">
        <v>14</v>
      </c>
    </row>
    <row r="128" spans="1:6" x14ac:dyDescent="0.25">
      <c r="A128">
        <v>121700</v>
      </c>
      <c r="B128" t="s">
        <v>20</v>
      </c>
      <c r="E128">
        <v>180800</v>
      </c>
      <c r="F128" t="s">
        <v>14</v>
      </c>
    </row>
    <row r="129" spans="1:6" x14ac:dyDescent="0.25">
      <c r="A129">
        <v>5700</v>
      </c>
      <c r="B129" t="s">
        <v>20</v>
      </c>
      <c r="E129">
        <v>100</v>
      </c>
      <c r="F129" t="s">
        <v>14</v>
      </c>
    </row>
    <row r="130" spans="1:6" x14ac:dyDescent="0.25">
      <c r="A130">
        <v>41700</v>
      </c>
      <c r="B130" t="s">
        <v>20</v>
      </c>
      <c r="E130">
        <v>2800</v>
      </c>
      <c r="F130" t="s">
        <v>14</v>
      </c>
    </row>
    <row r="131" spans="1:6" x14ac:dyDescent="0.25">
      <c r="A131">
        <v>4800</v>
      </c>
      <c r="B131" t="s">
        <v>20</v>
      </c>
      <c r="E131">
        <v>9300</v>
      </c>
      <c r="F131" t="s">
        <v>14</v>
      </c>
    </row>
    <row r="132" spans="1:6" x14ac:dyDescent="0.25">
      <c r="A132">
        <v>46300</v>
      </c>
      <c r="B132" t="s">
        <v>20</v>
      </c>
      <c r="E132">
        <v>9700</v>
      </c>
      <c r="F132" t="s">
        <v>14</v>
      </c>
    </row>
    <row r="133" spans="1:6" x14ac:dyDescent="0.25">
      <c r="A133">
        <v>67800</v>
      </c>
      <c r="B133" t="s">
        <v>20</v>
      </c>
      <c r="E133">
        <v>9900</v>
      </c>
      <c r="F133" t="s">
        <v>14</v>
      </c>
    </row>
    <row r="134" spans="1:6" x14ac:dyDescent="0.25">
      <c r="A134">
        <v>3000</v>
      </c>
      <c r="B134" t="s">
        <v>20</v>
      </c>
      <c r="E134">
        <v>189200</v>
      </c>
      <c r="F134" t="s">
        <v>14</v>
      </c>
    </row>
    <row r="135" spans="1:6" x14ac:dyDescent="0.25">
      <c r="A135">
        <v>60900</v>
      </c>
      <c r="B135" t="s">
        <v>20</v>
      </c>
      <c r="E135">
        <v>167400</v>
      </c>
      <c r="F135" t="s">
        <v>14</v>
      </c>
    </row>
    <row r="136" spans="1:6" x14ac:dyDescent="0.25">
      <c r="A136">
        <v>137900</v>
      </c>
      <c r="B136" t="s">
        <v>20</v>
      </c>
      <c r="E136">
        <v>2700</v>
      </c>
      <c r="F136" t="s">
        <v>14</v>
      </c>
    </row>
    <row r="137" spans="1:6" x14ac:dyDescent="0.25">
      <c r="A137">
        <v>85600</v>
      </c>
      <c r="B137" t="s">
        <v>20</v>
      </c>
      <c r="E137">
        <v>49700</v>
      </c>
      <c r="F137" t="s">
        <v>14</v>
      </c>
    </row>
    <row r="138" spans="1:6" x14ac:dyDescent="0.25">
      <c r="A138">
        <v>2400</v>
      </c>
      <c r="B138" t="s">
        <v>20</v>
      </c>
      <c r="E138">
        <v>178200</v>
      </c>
      <c r="F138" t="s">
        <v>14</v>
      </c>
    </row>
    <row r="139" spans="1:6" x14ac:dyDescent="0.25">
      <c r="A139">
        <v>3400</v>
      </c>
      <c r="B139" t="s">
        <v>20</v>
      </c>
      <c r="E139">
        <v>7200</v>
      </c>
      <c r="F139" t="s">
        <v>14</v>
      </c>
    </row>
    <row r="140" spans="1:6" x14ac:dyDescent="0.25">
      <c r="A140">
        <v>3800</v>
      </c>
      <c r="B140" t="s">
        <v>20</v>
      </c>
      <c r="E140">
        <v>9100</v>
      </c>
      <c r="F140" t="s">
        <v>14</v>
      </c>
    </row>
    <row r="141" spans="1:6" x14ac:dyDescent="0.25">
      <c r="A141">
        <v>7500</v>
      </c>
      <c r="B141" t="s">
        <v>20</v>
      </c>
      <c r="E141">
        <v>135500</v>
      </c>
      <c r="F141" t="s">
        <v>14</v>
      </c>
    </row>
    <row r="142" spans="1:6" x14ac:dyDescent="0.25">
      <c r="A142">
        <v>9300</v>
      </c>
      <c r="B142" t="s">
        <v>20</v>
      </c>
      <c r="E142">
        <v>109000</v>
      </c>
      <c r="F142" t="s">
        <v>14</v>
      </c>
    </row>
    <row r="143" spans="1:6" x14ac:dyDescent="0.25">
      <c r="A143">
        <v>2400</v>
      </c>
      <c r="B143" t="s">
        <v>20</v>
      </c>
      <c r="E143">
        <v>60400</v>
      </c>
      <c r="F143" t="s">
        <v>14</v>
      </c>
    </row>
    <row r="144" spans="1:6" x14ac:dyDescent="0.25">
      <c r="A144">
        <v>29400</v>
      </c>
      <c r="B144" t="s">
        <v>20</v>
      </c>
      <c r="E144">
        <v>102900</v>
      </c>
      <c r="F144" t="s">
        <v>14</v>
      </c>
    </row>
    <row r="145" spans="1:6" x14ac:dyDescent="0.25">
      <c r="A145">
        <v>168500</v>
      </c>
      <c r="B145" t="s">
        <v>20</v>
      </c>
      <c r="E145">
        <v>97300</v>
      </c>
      <c r="F145" t="s">
        <v>14</v>
      </c>
    </row>
    <row r="146" spans="1:6" x14ac:dyDescent="0.25">
      <c r="A146">
        <v>8400</v>
      </c>
      <c r="B146" t="s">
        <v>20</v>
      </c>
      <c r="E146">
        <v>100</v>
      </c>
      <c r="F146" t="s">
        <v>14</v>
      </c>
    </row>
    <row r="147" spans="1:6" x14ac:dyDescent="0.25">
      <c r="A147">
        <v>2300</v>
      </c>
      <c r="B147" t="s">
        <v>20</v>
      </c>
      <c r="E147">
        <v>7300</v>
      </c>
      <c r="F147" t="s">
        <v>14</v>
      </c>
    </row>
    <row r="148" spans="1:6" x14ac:dyDescent="0.25">
      <c r="A148">
        <v>700</v>
      </c>
      <c r="B148" t="s">
        <v>20</v>
      </c>
      <c r="E148">
        <v>195800</v>
      </c>
      <c r="F148" t="s">
        <v>14</v>
      </c>
    </row>
    <row r="149" spans="1:6" x14ac:dyDescent="0.25">
      <c r="A149">
        <v>2900</v>
      </c>
      <c r="B149" t="s">
        <v>20</v>
      </c>
      <c r="E149">
        <v>29600</v>
      </c>
      <c r="F149" t="s">
        <v>14</v>
      </c>
    </row>
    <row r="150" spans="1:6" x14ac:dyDescent="0.25">
      <c r="A150">
        <v>4500</v>
      </c>
      <c r="B150" t="s">
        <v>20</v>
      </c>
      <c r="E150">
        <v>135600</v>
      </c>
      <c r="F150" t="s">
        <v>14</v>
      </c>
    </row>
    <row r="151" spans="1:6" x14ac:dyDescent="0.25">
      <c r="A151">
        <v>19800</v>
      </c>
      <c r="B151" t="s">
        <v>20</v>
      </c>
      <c r="E151">
        <v>188200</v>
      </c>
      <c r="F151" t="s">
        <v>14</v>
      </c>
    </row>
    <row r="152" spans="1:6" x14ac:dyDescent="0.25">
      <c r="A152">
        <v>6200</v>
      </c>
      <c r="B152" t="s">
        <v>20</v>
      </c>
      <c r="E152">
        <v>113500</v>
      </c>
      <c r="F152" t="s">
        <v>14</v>
      </c>
    </row>
    <row r="153" spans="1:6" x14ac:dyDescent="0.25">
      <c r="A153">
        <v>61500</v>
      </c>
      <c r="B153" t="s">
        <v>20</v>
      </c>
      <c r="E153">
        <v>134600</v>
      </c>
      <c r="F153" t="s">
        <v>14</v>
      </c>
    </row>
    <row r="154" spans="1:6" x14ac:dyDescent="0.25">
      <c r="A154">
        <v>1000</v>
      </c>
      <c r="B154" t="s">
        <v>20</v>
      </c>
      <c r="E154">
        <v>1700</v>
      </c>
      <c r="F154" t="s">
        <v>14</v>
      </c>
    </row>
    <row r="155" spans="1:6" x14ac:dyDescent="0.25">
      <c r="A155">
        <v>4600</v>
      </c>
      <c r="B155" t="s">
        <v>20</v>
      </c>
      <c r="E155">
        <v>163700</v>
      </c>
      <c r="F155" t="s">
        <v>14</v>
      </c>
    </row>
    <row r="156" spans="1:6" x14ac:dyDescent="0.25">
      <c r="A156">
        <v>80500</v>
      </c>
      <c r="B156" t="s">
        <v>20</v>
      </c>
      <c r="E156">
        <v>9400</v>
      </c>
      <c r="F156" t="s">
        <v>14</v>
      </c>
    </row>
    <row r="157" spans="1:6" x14ac:dyDescent="0.25">
      <c r="A157">
        <v>5700</v>
      </c>
      <c r="B157" t="s">
        <v>20</v>
      </c>
      <c r="E157">
        <v>147800</v>
      </c>
      <c r="F157" t="s">
        <v>14</v>
      </c>
    </row>
    <row r="158" spans="1:6" x14ac:dyDescent="0.25">
      <c r="A158">
        <v>5000</v>
      </c>
      <c r="B158" t="s">
        <v>20</v>
      </c>
      <c r="E158">
        <v>5100</v>
      </c>
      <c r="F158" t="s">
        <v>14</v>
      </c>
    </row>
    <row r="159" spans="1:6" x14ac:dyDescent="0.25">
      <c r="A159">
        <v>1800</v>
      </c>
      <c r="B159" t="s">
        <v>20</v>
      </c>
      <c r="E159">
        <v>101400</v>
      </c>
      <c r="F159" t="s">
        <v>14</v>
      </c>
    </row>
    <row r="160" spans="1:6" x14ac:dyDescent="0.25">
      <c r="A160">
        <v>6300</v>
      </c>
      <c r="B160" t="s">
        <v>20</v>
      </c>
      <c r="E160">
        <v>8100</v>
      </c>
      <c r="F160" t="s">
        <v>14</v>
      </c>
    </row>
    <row r="161" spans="1:6" x14ac:dyDescent="0.25">
      <c r="A161">
        <v>1700</v>
      </c>
      <c r="B161" t="s">
        <v>20</v>
      </c>
      <c r="E161">
        <v>7700</v>
      </c>
      <c r="F161" t="s">
        <v>14</v>
      </c>
    </row>
    <row r="162" spans="1:6" x14ac:dyDescent="0.25">
      <c r="A162">
        <v>2900</v>
      </c>
      <c r="B162" t="s">
        <v>20</v>
      </c>
      <c r="E162">
        <v>121400</v>
      </c>
      <c r="F162" t="s">
        <v>14</v>
      </c>
    </row>
    <row r="163" spans="1:6" x14ac:dyDescent="0.25">
      <c r="A163">
        <v>45600</v>
      </c>
      <c r="B163" t="s">
        <v>20</v>
      </c>
      <c r="E163">
        <v>7000</v>
      </c>
      <c r="F163" t="s">
        <v>14</v>
      </c>
    </row>
    <row r="164" spans="1:6" x14ac:dyDescent="0.25">
      <c r="A164">
        <v>4900</v>
      </c>
      <c r="B164" t="s">
        <v>20</v>
      </c>
      <c r="E164">
        <v>6800</v>
      </c>
      <c r="F164" t="s">
        <v>14</v>
      </c>
    </row>
    <row r="165" spans="1:6" x14ac:dyDescent="0.25">
      <c r="A165">
        <v>61600</v>
      </c>
      <c r="B165" t="s">
        <v>20</v>
      </c>
      <c r="E165">
        <v>89900</v>
      </c>
      <c r="F165" t="s">
        <v>14</v>
      </c>
    </row>
    <row r="166" spans="1:6" x14ac:dyDescent="0.25">
      <c r="A166">
        <v>1500</v>
      </c>
      <c r="B166" t="s">
        <v>20</v>
      </c>
      <c r="E166">
        <v>100</v>
      </c>
      <c r="F166" t="s">
        <v>14</v>
      </c>
    </row>
    <row r="167" spans="1:6" x14ac:dyDescent="0.25">
      <c r="A167">
        <v>3500</v>
      </c>
      <c r="B167" t="s">
        <v>20</v>
      </c>
      <c r="E167">
        <v>4800</v>
      </c>
      <c r="F167" t="s">
        <v>14</v>
      </c>
    </row>
    <row r="168" spans="1:6" x14ac:dyDescent="0.25">
      <c r="A168">
        <v>51100</v>
      </c>
      <c r="B168" t="s">
        <v>20</v>
      </c>
      <c r="E168">
        <v>182400</v>
      </c>
      <c r="F168" t="s">
        <v>14</v>
      </c>
    </row>
    <row r="169" spans="1:6" x14ac:dyDescent="0.25">
      <c r="A169">
        <v>7800</v>
      </c>
      <c r="B169" t="s">
        <v>20</v>
      </c>
      <c r="E169">
        <v>4000</v>
      </c>
      <c r="F169" t="s">
        <v>14</v>
      </c>
    </row>
    <row r="170" spans="1:6" x14ac:dyDescent="0.25">
      <c r="A170">
        <v>3900</v>
      </c>
      <c r="B170" t="s">
        <v>20</v>
      </c>
      <c r="E170">
        <v>5000</v>
      </c>
      <c r="F170" t="s">
        <v>14</v>
      </c>
    </row>
    <row r="171" spans="1:6" x14ac:dyDescent="0.25">
      <c r="A171">
        <v>700</v>
      </c>
      <c r="B171" t="s">
        <v>20</v>
      </c>
      <c r="E171">
        <v>6300</v>
      </c>
      <c r="F171" t="s">
        <v>14</v>
      </c>
    </row>
    <row r="172" spans="1:6" x14ac:dyDescent="0.25">
      <c r="A172">
        <v>2700</v>
      </c>
      <c r="B172" t="s">
        <v>20</v>
      </c>
      <c r="E172">
        <v>188800</v>
      </c>
      <c r="F172" t="s">
        <v>14</v>
      </c>
    </row>
    <row r="173" spans="1:6" x14ac:dyDescent="0.25">
      <c r="A173">
        <v>8000</v>
      </c>
      <c r="B173" t="s">
        <v>20</v>
      </c>
      <c r="E173">
        <v>4000</v>
      </c>
      <c r="F173" t="s">
        <v>14</v>
      </c>
    </row>
    <row r="174" spans="1:6" x14ac:dyDescent="0.25">
      <c r="A174">
        <v>2500</v>
      </c>
      <c r="B174" t="s">
        <v>20</v>
      </c>
      <c r="E174">
        <v>153800</v>
      </c>
      <c r="F174" t="s">
        <v>14</v>
      </c>
    </row>
    <row r="175" spans="1:6" x14ac:dyDescent="0.25">
      <c r="A175">
        <v>8400</v>
      </c>
      <c r="B175" t="s">
        <v>20</v>
      </c>
      <c r="E175">
        <v>191500</v>
      </c>
      <c r="F175" t="s">
        <v>14</v>
      </c>
    </row>
    <row r="176" spans="1:6" x14ac:dyDescent="0.25">
      <c r="A176">
        <v>900</v>
      </c>
      <c r="B176" t="s">
        <v>20</v>
      </c>
      <c r="E176">
        <v>8500</v>
      </c>
      <c r="F176" t="s">
        <v>14</v>
      </c>
    </row>
    <row r="177" spans="1:6" x14ac:dyDescent="0.25">
      <c r="A177">
        <v>6300</v>
      </c>
      <c r="B177" t="s">
        <v>20</v>
      </c>
      <c r="E177">
        <v>196600</v>
      </c>
      <c r="F177" t="s">
        <v>14</v>
      </c>
    </row>
    <row r="178" spans="1:6" x14ac:dyDescent="0.25">
      <c r="A178">
        <v>800</v>
      </c>
      <c r="B178" t="s">
        <v>20</v>
      </c>
      <c r="E178">
        <v>4200</v>
      </c>
      <c r="F178" t="s">
        <v>14</v>
      </c>
    </row>
    <row r="179" spans="1:6" x14ac:dyDescent="0.25">
      <c r="A179">
        <v>1800</v>
      </c>
      <c r="B179" t="s">
        <v>20</v>
      </c>
      <c r="E179">
        <v>91400</v>
      </c>
      <c r="F179" t="s">
        <v>14</v>
      </c>
    </row>
    <row r="180" spans="1:6" x14ac:dyDescent="0.25">
      <c r="A180">
        <v>600</v>
      </c>
      <c r="B180" t="s">
        <v>20</v>
      </c>
      <c r="E180">
        <v>90600</v>
      </c>
      <c r="F180" t="s">
        <v>14</v>
      </c>
    </row>
    <row r="181" spans="1:6" x14ac:dyDescent="0.25">
      <c r="A181">
        <v>3500</v>
      </c>
      <c r="B181" t="s">
        <v>20</v>
      </c>
      <c r="E181">
        <v>5200</v>
      </c>
      <c r="F181" t="s">
        <v>14</v>
      </c>
    </row>
    <row r="182" spans="1:6" x14ac:dyDescent="0.25">
      <c r="A182">
        <v>900</v>
      </c>
      <c r="B182" t="s">
        <v>20</v>
      </c>
      <c r="E182">
        <v>183800</v>
      </c>
      <c r="F182" t="s">
        <v>14</v>
      </c>
    </row>
    <row r="183" spans="1:6" x14ac:dyDescent="0.25">
      <c r="A183">
        <v>2100</v>
      </c>
      <c r="B183" t="s">
        <v>20</v>
      </c>
      <c r="E183">
        <v>9800</v>
      </c>
      <c r="F183" t="s">
        <v>14</v>
      </c>
    </row>
    <row r="184" spans="1:6" x14ac:dyDescent="0.25">
      <c r="A184">
        <v>2800</v>
      </c>
      <c r="B184" t="s">
        <v>20</v>
      </c>
      <c r="E184">
        <v>193400</v>
      </c>
      <c r="F184" t="s">
        <v>14</v>
      </c>
    </row>
    <row r="185" spans="1:6" x14ac:dyDescent="0.25">
      <c r="A185">
        <v>32900</v>
      </c>
      <c r="B185" t="s">
        <v>20</v>
      </c>
      <c r="E185">
        <v>163800</v>
      </c>
      <c r="F185" t="s">
        <v>14</v>
      </c>
    </row>
    <row r="186" spans="1:6" x14ac:dyDescent="0.25">
      <c r="A186">
        <v>6300</v>
      </c>
      <c r="B186" t="s">
        <v>20</v>
      </c>
      <c r="E186">
        <v>100</v>
      </c>
      <c r="F186" t="s">
        <v>14</v>
      </c>
    </row>
    <row r="187" spans="1:6" x14ac:dyDescent="0.25">
      <c r="A187">
        <v>59100</v>
      </c>
      <c r="B187" t="s">
        <v>20</v>
      </c>
      <c r="E187">
        <v>153600</v>
      </c>
      <c r="F187" t="s">
        <v>14</v>
      </c>
    </row>
    <row r="188" spans="1:6" x14ac:dyDescent="0.25">
      <c r="A188">
        <v>2200</v>
      </c>
      <c r="B188" t="s">
        <v>20</v>
      </c>
      <c r="E188">
        <v>7500</v>
      </c>
      <c r="F188" t="s">
        <v>14</v>
      </c>
    </row>
    <row r="189" spans="1:6" x14ac:dyDescent="0.25">
      <c r="A189">
        <v>1400</v>
      </c>
      <c r="B189" t="s">
        <v>20</v>
      </c>
      <c r="E189">
        <v>89900</v>
      </c>
      <c r="F189" t="s">
        <v>14</v>
      </c>
    </row>
    <row r="190" spans="1:6" x14ac:dyDescent="0.25">
      <c r="A190">
        <v>117900</v>
      </c>
      <c r="B190" t="s">
        <v>20</v>
      </c>
      <c r="E190">
        <v>2100</v>
      </c>
      <c r="F190" t="s">
        <v>14</v>
      </c>
    </row>
    <row r="191" spans="1:6" x14ac:dyDescent="0.25">
      <c r="A191">
        <v>7100</v>
      </c>
      <c r="B191" t="s">
        <v>20</v>
      </c>
      <c r="E191">
        <v>168500</v>
      </c>
      <c r="F191" t="s">
        <v>14</v>
      </c>
    </row>
    <row r="192" spans="1:6" x14ac:dyDescent="0.25">
      <c r="A192">
        <v>98700</v>
      </c>
      <c r="B192" t="s">
        <v>20</v>
      </c>
      <c r="E192">
        <v>147800</v>
      </c>
      <c r="F192" t="s">
        <v>14</v>
      </c>
    </row>
    <row r="193" spans="1:6" x14ac:dyDescent="0.25">
      <c r="A193">
        <v>33700</v>
      </c>
      <c r="B193" t="s">
        <v>20</v>
      </c>
      <c r="E193">
        <v>8600</v>
      </c>
      <c r="F193" t="s">
        <v>14</v>
      </c>
    </row>
    <row r="194" spans="1:6" x14ac:dyDescent="0.25">
      <c r="A194">
        <v>3300</v>
      </c>
      <c r="B194" t="s">
        <v>20</v>
      </c>
      <c r="E194">
        <v>125400</v>
      </c>
      <c r="F194" t="s">
        <v>14</v>
      </c>
    </row>
    <row r="195" spans="1:6" x14ac:dyDescent="0.25">
      <c r="A195">
        <v>20700</v>
      </c>
      <c r="B195" t="s">
        <v>20</v>
      </c>
      <c r="E195">
        <v>8800</v>
      </c>
      <c r="F195" t="s">
        <v>14</v>
      </c>
    </row>
    <row r="196" spans="1:6" x14ac:dyDescent="0.25">
      <c r="A196">
        <v>9600</v>
      </c>
      <c r="B196" t="s">
        <v>20</v>
      </c>
      <c r="E196">
        <v>50500</v>
      </c>
      <c r="F196" t="s">
        <v>14</v>
      </c>
    </row>
    <row r="197" spans="1:6" x14ac:dyDescent="0.25">
      <c r="A197">
        <v>66200</v>
      </c>
      <c r="B197" t="s">
        <v>20</v>
      </c>
      <c r="E197">
        <v>96700</v>
      </c>
      <c r="F197" t="s">
        <v>14</v>
      </c>
    </row>
    <row r="198" spans="1:6" x14ac:dyDescent="0.25">
      <c r="A198">
        <v>173800</v>
      </c>
      <c r="B198" t="s">
        <v>20</v>
      </c>
      <c r="E198">
        <v>2100</v>
      </c>
      <c r="F198" t="s">
        <v>14</v>
      </c>
    </row>
    <row r="199" spans="1:6" x14ac:dyDescent="0.25">
      <c r="A199">
        <v>94500</v>
      </c>
      <c r="B199" t="s">
        <v>20</v>
      </c>
      <c r="E199">
        <v>189200</v>
      </c>
      <c r="F199" t="s">
        <v>14</v>
      </c>
    </row>
    <row r="200" spans="1:6" x14ac:dyDescent="0.25">
      <c r="A200">
        <v>69800</v>
      </c>
      <c r="B200" t="s">
        <v>20</v>
      </c>
      <c r="E200">
        <v>9000</v>
      </c>
      <c r="F200" t="s">
        <v>14</v>
      </c>
    </row>
    <row r="201" spans="1:6" x14ac:dyDescent="0.25">
      <c r="A201">
        <v>900</v>
      </c>
      <c r="B201" t="s">
        <v>20</v>
      </c>
      <c r="E201">
        <v>5100</v>
      </c>
      <c r="F201" t="s">
        <v>14</v>
      </c>
    </row>
    <row r="202" spans="1:6" x14ac:dyDescent="0.25">
      <c r="A202">
        <v>74100</v>
      </c>
      <c r="B202" t="s">
        <v>20</v>
      </c>
      <c r="E202">
        <v>105000</v>
      </c>
      <c r="F202" t="s">
        <v>14</v>
      </c>
    </row>
    <row r="203" spans="1:6" x14ac:dyDescent="0.25">
      <c r="A203">
        <v>33600</v>
      </c>
      <c r="B203" t="s">
        <v>20</v>
      </c>
      <c r="E203">
        <v>89100</v>
      </c>
      <c r="F203" t="s">
        <v>14</v>
      </c>
    </row>
    <row r="204" spans="1:6" x14ac:dyDescent="0.25">
      <c r="A204">
        <v>6100</v>
      </c>
      <c r="B204" t="s">
        <v>20</v>
      </c>
      <c r="E204">
        <v>151300</v>
      </c>
      <c r="F204" t="s">
        <v>14</v>
      </c>
    </row>
    <row r="205" spans="1:6" x14ac:dyDescent="0.25">
      <c r="A205">
        <v>2300</v>
      </c>
      <c r="B205" t="s">
        <v>20</v>
      </c>
      <c r="E205">
        <v>9800</v>
      </c>
      <c r="F205" t="s">
        <v>14</v>
      </c>
    </row>
    <row r="206" spans="1:6" x14ac:dyDescent="0.25">
      <c r="A206">
        <v>4000</v>
      </c>
      <c r="B206" t="s">
        <v>20</v>
      </c>
      <c r="E206">
        <v>178000</v>
      </c>
      <c r="F206" t="s">
        <v>14</v>
      </c>
    </row>
    <row r="207" spans="1:6" x14ac:dyDescent="0.25">
      <c r="A207">
        <v>59700</v>
      </c>
      <c r="B207" t="s">
        <v>20</v>
      </c>
      <c r="E207">
        <v>77000</v>
      </c>
      <c r="F207" t="s">
        <v>14</v>
      </c>
    </row>
    <row r="208" spans="1:6" x14ac:dyDescent="0.25">
      <c r="A208">
        <v>5500</v>
      </c>
      <c r="B208" t="s">
        <v>20</v>
      </c>
      <c r="E208">
        <v>84900</v>
      </c>
      <c r="F208" t="s">
        <v>14</v>
      </c>
    </row>
    <row r="209" spans="1:6" x14ac:dyDescent="0.25">
      <c r="A209">
        <v>3700</v>
      </c>
      <c r="B209" t="s">
        <v>20</v>
      </c>
      <c r="E209">
        <v>184800</v>
      </c>
      <c r="F209" t="s">
        <v>14</v>
      </c>
    </row>
    <row r="210" spans="1:6" x14ac:dyDescent="0.25">
      <c r="A210">
        <v>5200</v>
      </c>
      <c r="B210" t="s">
        <v>20</v>
      </c>
      <c r="E210">
        <v>180100</v>
      </c>
      <c r="F210" t="s">
        <v>14</v>
      </c>
    </row>
    <row r="211" spans="1:6" x14ac:dyDescent="0.25">
      <c r="A211">
        <v>900</v>
      </c>
      <c r="B211" t="s">
        <v>20</v>
      </c>
      <c r="E211">
        <v>9000</v>
      </c>
      <c r="F211" t="s">
        <v>14</v>
      </c>
    </row>
    <row r="212" spans="1:6" x14ac:dyDescent="0.25">
      <c r="A212">
        <v>1600</v>
      </c>
      <c r="B212" t="s">
        <v>20</v>
      </c>
      <c r="E212">
        <v>170600</v>
      </c>
      <c r="F212" t="s">
        <v>14</v>
      </c>
    </row>
    <row r="213" spans="1:6" x14ac:dyDescent="0.25">
      <c r="A213">
        <v>1800</v>
      </c>
      <c r="B213" t="s">
        <v>20</v>
      </c>
      <c r="E213">
        <v>9900</v>
      </c>
      <c r="F213" t="s">
        <v>14</v>
      </c>
    </row>
    <row r="214" spans="1:6" x14ac:dyDescent="0.25">
      <c r="A214">
        <v>5200</v>
      </c>
      <c r="B214" t="s">
        <v>20</v>
      </c>
      <c r="E214">
        <v>168700</v>
      </c>
      <c r="F214" t="s">
        <v>14</v>
      </c>
    </row>
    <row r="215" spans="1:6" x14ac:dyDescent="0.25">
      <c r="A215">
        <v>5400</v>
      </c>
      <c r="B215" t="s">
        <v>20</v>
      </c>
      <c r="E215">
        <v>9300</v>
      </c>
      <c r="F215" t="s">
        <v>14</v>
      </c>
    </row>
    <row r="216" spans="1:6" x14ac:dyDescent="0.25">
      <c r="A216">
        <v>112300</v>
      </c>
      <c r="B216" t="s">
        <v>20</v>
      </c>
      <c r="E216">
        <v>3500</v>
      </c>
      <c r="F216" t="s">
        <v>14</v>
      </c>
    </row>
    <row r="217" spans="1:6" x14ac:dyDescent="0.25">
      <c r="A217">
        <v>900</v>
      </c>
      <c r="B217" t="s">
        <v>20</v>
      </c>
      <c r="E217">
        <v>83300</v>
      </c>
      <c r="F217" t="s">
        <v>14</v>
      </c>
    </row>
    <row r="218" spans="1:6" x14ac:dyDescent="0.25">
      <c r="A218">
        <v>22500</v>
      </c>
      <c r="B218" t="s">
        <v>20</v>
      </c>
      <c r="E218">
        <v>9700</v>
      </c>
      <c r="F218" t="s">
        <v>14</v>
      </c>
    </row>
    <row r="219" spans="1:6" x14ac:dyDescent="0.25">
      <c r="A219">
        <v>3400</v>
      </c>
      <c r="B219" t="s">
        <v>20</v>
      </c>
      <c r="E219">
        <v>96500</v>
      </c>
      <c r="F219" t="s">
        <v>14</v>
      </c>
    </row>
    <row r="220" spans="1:6" x14ac:dyDescent="0.25">
      <c r="A220">
        <v>2500</v>
      </c>
      <c r="B220" t="s">
        <v>20</v>
      </c>
      <c r="E220">
        <v>6000</v>
      </c>
      <c r="F220" t="s">
        <v>14</v>
      </c>
    </row>
    <row r="221" spans="1:6" x14ac:dyDescent="0.25">
      <c r="A221">
        <v>5300</v>
      </c>
      <c r="B221" t="s">
        <v>20</v>
      </c>
      <c r="E221">
        <v>8700</v>
      </c>
      <c r="F221" t="s">
        <v>14</v>
      </c>
    </row>
    <row r="222" spans="1:6" x14ac:dyDescent="0.25">
      <c r="A222">
        <v>6300</v>
      </c>
      <c r="B222" t="s">
        <v>20</v>
      </c>
      <c r="E222">
        <v>9400</v>
      </c>
      <c r="F222" t="s">
        <v>14</v>
      </c>
    </row>
    <row r="223" spans="1:6" x14ac:dyDescent="0.25">
      <c r="A223">
        <v>114400</v>
      </c>
      <c r="B223" t="s">
        <v>20</v>
      </c>
      <c r="E223">
        <v>157600</v>
      </c>
      <c r="F223" t="s">
        <v>14</v>
      </c>
    </row>
    <row r="224" spans="1:6" x14ac:dyDescent="0.25">
      <c r="A224">
        <v>38900</v>
      </c>
      <c r="B224" t="s">
        <v>20</v>
      </c>
      <c r="E224">
        <v>7900</v>
      </c>
      <c r="F224" t="s">
        <v>14</v>
      </c>
    </row>
    <row r="225" spans="1:6" x14ac:dyDescent="0.25">
      <c r="A225">
        <v>83000</v>
      </c>
      <c r="B225" t="s">
        <v>20</v>
      </c>
      <c r="E225">
        <v>7100</v>
      </c>
      <c r="F225" t="s">
        <v>14</v>
      </c>
    </row>
    <row r="226" spans="1:6" x14ac:dyDescent="0.25">
      <c r="A226">
        <v>2400</v>
      </c>
      <c r="B226" t="s">
        <v>20</v>
      </c>
      <c r="E226">
        <v>156800</v>
      </c>
      <c r="F226" t="s">
        <v>14</v>
      </c>
    </row>
    <row r="227" spans="1:6" x14ac:dyDescent="0.25">
      <c r="A227">
        <v>62800</v>
      </c>
      <c r="B227" t="s">
        <v>20</v>
      </c>
      <c r="E227">
        <v>157300</v>
      </c>
      <c r="F227" t="s">
        <v>14</v>
      </c>
    </row>
    <row r="228" spans="1:6" x14ac:dyDescent="0.25">
      <c r="A228">
        <v>800</v>
      </c>
      <c r="B228" t="s">
        <v>20</v>
      </c>
      <c r="E228">
        <v>7900</v>
      </c>
      <c r="F228" t="s">
        <v>14</v>
      </c>
    </row>
    <row r="229" spans="1:6" x14ac:dyDescent="0.25">
      <c r="A229">
        <v>7100</v>
      </c>
      <c r="B229" t="s">
        <v>20</v>
      </c>
      <c r="E229">
        <v>140300</v>
      </c>
      <c r="F229" t="s">
        <v>14</v>
      </c>
    </row>
    <row r="230" spans="1:6" x14ac:dyDescent="0.25">
      <c r="A230">
        <v>46100</v>
      </c>
      <c r="B230" t="s">
        <v>20</v>
      </c>
      <c r="E230">
        <v>100</v>
      </c>
      <c r="F230" t="s">
        <v>14</v>
      </c>
    </row>
    <row r="231" spans="1:6" x14ac:dyDescent="0.25">
      <c r="A231">
        <v>8100</v>
      </c>
      <c r="B231" t="s">
        <v>20</v>
      </c>
      <c r="E231">
        <v>198600</v>
      </c>
      <c r="F231" t="s">
        <v>14</v>
      </c>
    </row>
    <row r="232" spans="1:6" x14ac:dyDescent="0.25">
      <c r="A232">
        <v>1700</v>
      </c>
      <c r="B232" t="s">
        <v>20</v>
      </c>
      <c r="E232">
        <v>195900</v>
      </c>
      <c r="F232" t="s">
        <v>14</v>
      </c>
    </row>
    <row r="233" spans="1:6" x14ac:dyDescent="0.25">
      <c r="A233">
        <v>900</v>
      </c>
      <c r="B233" t="s">
        <v>20</v>
      </c>
      <c r="E233">
        <v>189000</v>
      </c>
      <c r="F233" t="s">
        <v>14</v>
      </c>
    </row>
    <row r="234" spans="1:6" x14ac:dyDescent="0.25">
      <c r="A234">
        <v>48900</v>
      </c>
      <c r="B234" t="s">
        <v>20</v>
      </c>
      <c r="E234">
        <v>7500</v>
      </c>
      <c r="F234" t="s">
        <v>14</v>
      </c>
    </row>
    <row r="235" spans="1:6" x14ac:dyDescent="0.25">
      <c r="A235">
        <v>39300</v>
      </c>
      <c r="B235" t="s">
        <v>20</v>
      </c>
      <c r="E235">
        <v>85900</v>
      </c>
      <c r="F235" t="s">
        <v>14</v>
      </c>
    </row>
    <row r="236" spans="1:6" x14ac:dyDescent="0.25">
      <c r="A236">
        <v>3400</v>
      </c>
      <c r="B236" t="s">
        <v>20</v>
      </c>
      <c r="E236">
        <v>6700</v>
      </c>
      <c r="F236" t="s">
        <v>14</v>
      </c>
    </row>
    <row r="237" spans="1:6" x14ac:dyDescent="0.25">
      <c r="A237">
        <v>9200</v>
      </c>
      <c r="B237" t="s">
        <v>20</v>
      </c>
      <c r="E237">
        <v>197700</v>
      </c>
      <c r="F237" t="s">
        <v>14</v>
      </c>
    </row>
    <row r="238" spans="1:6" x14ac:dyDescent="0.25">
      <c r="A238">
        <v>7800</v>
      </c>
      <c r="B238" t="s">
        <v>20</v>
      </c>
      <c r="E238">
        <v>8500</v>
      </c>
      <c r="F238" t="s">
        <v>14</v>
      </c>
    </row>
    <row r="239" spans="1:6" x14ac:dyDescent="0.25">
      <c r="A239">
        <v>2100</v>
      </c>
      <c r="B239" t="s">
        <v>20</v>
      </c>
      <c r="E239">
        <v>81600</v>
      </c>
      <c r="F239" t="s">
        <v>14</v>
      </c>
    </row>
    <row r="240" spans="1:6" x14ac:dyDescent="0.25">
      <c r="A240">
        <v>113800</v>
      </c>
      <c r="B240" t="s">
        <v>20</v>
      </c>
      <c r="E240">
        <v>119800</v>
      </c>
      <c r="F240" t="s">
        <v>14</v>
      </c>
    </row>
    <row r="241" spans="1:6" x14ac:dyDescent="0.25">
      <c r="A241">
        <v>5000</v>
      </c>
      <c r="B241" t="s">
        <v>20</v>
      </c>
      <c r="E241">
        <v>169400</v>
      </c>
      <c r="F241" t="s">
        <v>14</v>
      </c>
    </row>
    <row r="242" spans="1:6" x14ac:dyDescent="0.25">
      <c r="A242">
        <v>8700</v>
      </c>
      <c r="B242" t="s">
        <v>20</v>
      </c>
      <c r="E242">
        <v>192100</v>
      </c>
      <c r="F242" t="s">
        <v>14</v>
      </c>
    </row>
    <row r="243" spans="1:6" x14ac:dyDescent="0.25">
      <c r="A243">
        <v>2700</v>
      </c>
      <c r="B243" t="s">
        <v>20</v>
      </c>
      <c r="E243">
        <v>98700</v>
      </c>
      <c r="F243" t="s">
        <v>14</v>
      </c>
    </row>
    <row r="244" spans="1:6" x14ac:dyDescent="0.25">
      <c r="A244">
        <v>1800</v>
      </c>
      <c r="B244" t="s">
        <v>20</v>
      </c>
      <c r="E244">
        <v>4500</v>
      </c>
      <c r="F244" t="s">
        <v>14</v>
      </c>
    </row>
    <row r="245" spans="1:6" x14ac:dyDescent="0.25">
      <c r="A245">
        <v>174500</v>
      </c>
      <c r="B245" t="s">
        <v>20</v>
      </c>
      <c r="E245">
        <v>121700</v>
      </c>
      <c r="F245" t="s">
        <v>14</v>
      </c>
    </row>
    <row r="246" spans="1:6" x14ac:dyDescent="0.25">
      <c r="A246">
        <v>5100</v>
      </c>
      <c r="B246" t="s">
        <v>20</v>
      </c>
      <c r="E246">
        <v>100</v>
      </c>
      <c r="F246" t="s">
        <v>14</v>
      </c>
    </row>
    <row r="247" spans="1:6" x14ac:dyDescent="0.25">
      <c r="A247">
        <v>152400</v>
      </c>
      <c r="B247" t="s">
        <v>20</v>
      </c>
      <c r="E247">
        <v>196700</v>
      </c>
      <c r="F247" t="s">
        <v>14</v>
      </c>
    </row>
    <row r="248" spans="1:6" x14ac:dyDescent="0.25">
      <c r="A248">
        <v>1300</v>
      </c>
      <c r="B248" t="s">
        <v>20</v>
      </c>
      <c r="E248">
        <v>118400</v>
      </c>
      <c r="F248" t="s">
        <v>14</v>
      </c>
    </row>
    <row r="249" spans="1:6" x14ac:dyDescent="0.25">
      <c r="A249">
        <v>8100</v>
      </c>
      <c r="B249" t="s">
        <v>20</v>
      </c>
      <c r="E249">
        <v>10000</v>
      </c>
      <c r="F249" t="s">
        <v>14</v>
      </c>
    </row>
    <row r="250" spans="1:6" x14ac:dyDescent="0.25">
      <c r="A250">
        <v>8300</v>
      </c>
      <c r="B250" t="s">
        <v>20</v>
      </c>
      <c r="E250">
        <v>120700</v>
      </c>
      <c r="F250" t="s">
        <v>14</v>
      </c>
    </row>
    <row r="251" spans="1:6" x14ac:dyDescent="0.25">
      <c r="A251">
        <v>28400</v>
      </c>
      <c r="B251" t="s">
        <v>20</v>
      </c>
      <c r="E251">
        <v>9100</v>
      </c>
      <c r="F251" t="s">
        <v>14</v>
      </c>
    </row>
    <row r="252" spans="1:6" x14ac:dyDescent="0.25">
      <c r="A252">
        <v>102500</v>
      </c>
      <c r="B252" t="s">
        <v>20</v>
      </c>
      <c r="E252">
        <v>106800</v>
      </c>
      <c r="F252" t="s">
        <v>14</v>
      </c>
    </row>
    <row r="253" spans="1:6" x14ac:dyDescent="0.25">
      <c r="A253">
        <v>5400</v>
      </c>
      <c r="B253" t="s">
        <v>20</v>
      </c>
      <c r="E253">
        <v>9100</v>
      </c>
      <c r="F253" t="s">
        <v>14</v>
      </c>
    </row>
    <row r="254" spans="1:6" x14ac:dyDescent="0.25">
      <c r="A254">
        <v>6200</v>
      </c>
      <c r="B254" t="s">
        <v>20</v>
      </c>
      <c r="E254">
        <v>10000</v>
      </c>
      <c r="F254" t="s">
        <v>14</v>
      </c>
    </row>
    <row r="255" spans="1:6" x14ac:dyDescent="0.25">
      <c r="A255">
        <v>2100</v>
      </c>
      <c r="B255" t="s">
        <v>20</v>
      </c>
      <c r="E255">
        <v>79400</v>
      </c>
      <c r="F255" t="s">
        <v>14</v>
      </c>
    </row>
    <row r="256" spans="1:6" x14ac:dyDescent="0.25">
      <c r="A256">
        <v>900</v>
      </c>
      <c r="B256" t="s">
        <v>20</v>
      </c>
      <c r="E256">
        <v>27500</v>
      </c>
      <c r="F256" t="s">
        <v>14</v>
      </c>
    </row>
    <row r="257" spans="1:6" x14ac:dyDescent="0.25">
      <c r="A257">
        <v>148400</v>
      </c>
      <c r="B257" t="s">
        <v>20</v>
      </c>
      <c r="E257">
        <v>197900</v>
      </c>
      <c r="F257" t="s">
        <v>14</v>
      </c>
    </row>
    <row r="258" spans="1:6" x14ac:dyDescent="0.25">
      <c r="A258">
        <v>116500</v>
      </c>
      <c r="B258" t="s">
        <v>20</v>
      </c>
      <c r="E258">
        <v>5600</v>
      </c>
      <c r="F258" t="s">
        <v>14</v>
      </c>
    </row>
    <row r="259" spans="1:6" x14ac:dyDescent="0.25">
      <c r="A259">
        <v>146400</v>
      </c>
      <c r="B259" t="s">
        <v>20</v>
      </c>
      <c r="E259">
        <v>5300</v>
      </c>
      <c r="F259" t="s">
        <v>14</v>
      </c>
    </row>
    <row r="260" spans="1:6" x14ac:dyDescent="0.25">
      <c r="A260">
        <v>33800</v>
      </c>
      <c r="B260" t="s">
        <v>20</v>
      </c>
      <c r="E260">
        <v>145600</v>
      </c>
      <c r="F260" t="s">
        <v>14</v>
      </c>
    </row>
    <row r="261" spans="1:6" x14ac:dyDescent="0.25">
      <c r="A261">
        <v>2400</v>
      </c>
      <c r="B261" t="s">
        <v>20</v>
      </c>
      <c r="E261">
        <v>184100</v>
      </c>
      <c r="F261" t="s">
        <v>14</v>
      </c>
    </row>
    <row r="262" spans="1:6" x14ac:dyDescent="0.25">
      <c r="A262">
        <v>98800</v>
      </c>
      <c r="B262" t="s">
        <v>20</v>
      </c>
      <c r="E262">
        <v>140000</v>
      </c>
      <c r="F262" t="s">
        <v>14</v>
      </c>
    </row>
    <row r="263" spans="1:6" x14ac:dyDescent="0.25">
      <c r="A263">
        <v>134300</v>
      </c>
      <c r="B263" t="s">
        <v>20</v>
      </c>
      <c r="E263">
        <v>6000</v>
      </c>
      <c r="F263" t="s">
        <v>14</v>
      </c>
    </row>
    <row r="264" spans="1:6" x14ac:dyDescent="0.25">
      <c r="A264">
        <v>71200</v>
      </c>
      <c r="B264" t="s">
        <v>20</v>
      </c>
      <c r="E264">
        <v>180400</v>
      </c>
      <c r="F264" t="s">
        <v>14</v>
      </c>
    </row>
    <row r="265" spans="1:6" x14ac:dyDescent="0.25">
      <c r="A265">
        <v>4700</v>
      </c>
      <c r="B265" t="s">
        <v>20</v>
      </c>
      <c r="E265">
        <v>9100</v>
      </c>
      <c r="F265" t="s">
        <v>14</v>
      </c>
    </row>
    <row r="266" spans="1:6" x14ac:dyDescent="0.25">
      <c r="A266">
        <v>1200</v>
      </c>
      <c r="B266" t="s">
        <v>20</v>
      </c>
      <c r="E266">
        <v>164100</v>
      </c>
      <c r="F266" t="s">
        <v>14</v>
      </c>
    </row>
    <row r="267" spans="1:6" x14ac:dyDescent="0.25">
      <c r="A267">
        <v>1400</v>
      </c>
      <c r="B267" t="s">
        <v>20</v>
      </c>
      <c r="E267">
        <v>7400</v>
      </c>
      <c r="F267" t="s">
        <v>14</v>
      </c>
    </row>
    <row r="268" spans="1:6" x14ac:dyDescent="0.25">
      <c r="A268">
        <v>5600</v>
      </c>
      <c r="B268" t="s">
        <v>20</v>
      </c>
      <c r="E268">
        <v>100</v>
      </c>
      <c r="F268" t="s">
        <v>14</v>
      </c>
    </row>
    <row r="269" spans="1:6" x14ac:dyDescent="0.25">
      <c r="A269">
        <v>3600</v>
      </c>
      <c r="B269" t="s">
        <v>20</v>
      </c>
      <c r="E269">
        <v>8700</v>
      </c>
      <c r="F269" t="s">
        <v>14</v>
      </c>
    </row>
    <row r="270" spans="1:6" x14ac:dyDescent="0.25">
      <c r="A270">
        <v>3100</v>
      </c>
      <c r="B270" t="s">
        <v>20</v>
      </c>
      <c r="E270">
        <v>169700</v>
      </c>
      <c r="F270" t="s">
        <v>14</v>
      </c>
    </row>
    <row r="271" spans="1:6" x14ac:dyDescent="0.25">
      <c r="A271">
        <v>5000</v>
      </c>
      <c r="B271" t="s">
        <v>20</v>
      </c>
      <c r="E271">
        <v>6200</v>
      </c>
      <c r="F271" t="s">
        <v>14</v>
      </c>
    </row>
    <row r="272" spans="1:6" x14ac:dyDescent="0.25">
      <c r="A272">
        <v>4000</v>
      </c>
      <c r="B272" t="s">
        <v>20</v>
      </c>
      <c r="E272">
        <v>118000</v>
      </c>
      <c r="F272" t="s">
        <v>14</v>
      </c>
    </row>
    <row r="273" spans="1:6" x14ac:dyDescent="0.25">
      <c r="A273">
        <v>7400</v>
      </c>
      <c r="B273" t="s">
        <v>20</v>
      </c>
      <c r="E273">
        <v>193200</v>
      </c>
      <c r="F273" t="s">
        <v>14</v>
      </c>
    </row>
    <row r="274" spans="1:6" x14ac:dyDescent="0.25">
      <c r="A274">
        <v>68800</v>
      </c>
      <c r="B274" t="s">
        <v>20</v>
      </c>
      <c r="E274">
        <v>4200</v>
      </c>
      <c r="F274" t="s">
        <v>14</v>
      </c>
    </row>
    <row r="275" spans="1:6" x14ac:dyDescent="0.25">
      <c r="A275">
        <v>2400</v>
      </c>
      <c r="B275" t="s">
        <v>20</v>
      </c>
      <c r="E275">
        <v>117000</v>
      </c>
      <c r="F275" t="s">
        <v>14</v>
      </c>
    </row>
    <row r="276" spans="1:6" x14ac:dyDescent="0.25">
      <c r="A276">
        <v>8600</v>
      </c>
      <c r="B276" t="s">
        <v>20</v>
      </c>
      <c r="E276">
        <v>74700</v>
      </c>
      <c r="F276" t="s">
        <v>14</v>
      </c>
    </row>
    <row r="277" spans="1:6" x14ac:dyDescent="0.25">
      <c r="A277">
        <v>29600</v>
      </c>
      <c r="B277" t="s">
        <v>20</v>
      </c>
      <c r="E277">
        <v>10000</v>
      </c>
      <c r="F277" t="s">
        <v>14</v>
      </c>
    </row>
    <row r="278" spans="1:6" x14ac:dyDescent="0.25">
      <c r="A278">
        <v>110300</v>
      </c>
      <c r="B278" t="s">
        <v>20</v>
      </c>
      <c r="E278">
        <v>5300</v>
      </c>
      <c r="F278" t="s">
        <v>14</v>
      </c>
    </row>
    <row r="279" spans="1:6" x14ac:dyDescent="0.25">
      <c r="A279">
        <v>5300</v>
      </c>
      <c r="B279" t="s">
        <v>20</v>
      </c>
      <c r="E279">
        <v>3900</v>
      </c>
      <c r="F279" t="s">
        <v>14</v>
      </c>
    </row>
    <row r="280" spans="1:6" x14ac:dyDescent="0.25">
      <c r="A280">
        <v>9200</v>
      </c>
      <c r="B280" t="s">
        <v>20</v>
      </c>
      <c r="E280">
        <v>6900</v>
      </c>
      <c r="F280" t="s">
        <v>14</v>
      </c>
    </row>
    <row r="281" spans="1:6" x14ac:dyDescent="0.25">
      <c r="A281">
        <v>2400</v>
      </c>
      <c r="B281" t="s">
        <v>20</v>
      </c>
      <c r="E281">
        <v>100</v>
      </c>
      <c r="F281" t="s">
        <v>14</v>
      </c>
    </row>
    <row r="282" spans="1:6" x14ac:dyDescent="0.25">
      <c r="A282">
        <v>56800</v>
      </c>
      <c r="B282" t="s">
        <v>20</v>
      </c>
      <c r="E282">
        <v>167500</v>
      </c>
      <c r="F282" t="s">
        <v>14</v>
      </c>
    </row>
    <row r="283" spans="1:6" x14ac:dyDescent="0.25">
      <c r="A283">
        <v>900</v>
      </c>
      <c r="B283" t="s">
        <v>20</v>
      </c>
      <c r="E283">
        <v>48300</v>
      </c>
      <c r="F283" t="s">
        <v>14</v>
      </c>
    </row>
    <row r="284" spans="1:6" x14ac:dyDescent="0.25">
      <c r="A284">
        <v>2500</v>
      </c>
      <c r="B284" t="s">
        <v>20</v>
      </c>
      <c r="E284">
        <v>43800</v>
      </c>
      <c r="F284" t="s">
        <v>14</v>
      </c>
    </row>
    <row r="285" spans="1:6" x14ac:dyDescent="0.25">
      <c r="A285">
        <v>3200</v>
      </c>
      <c r="B285" t="s">
        <v>20</v>
      </c>
      <c r="E285">
        <v>97200</v>
      </c>
      <c r="F285" t="s">
        <v>14</v>
      </c>
    </row>
    <row r="286" spans="1:6" x14ac:dyDescent="0.25">
      <c r="A286">
        <v>1300</v>
      </c>
      <c r="B286" t="s">
        <v>20</v>
      </c>
      <c r="E286">
        <v>125600</v>
      </c>
      <c r="F286" t="s">
        <v>14</v>
      </c>
    </row>
    <row r="287" spans="1:6" x14ac:dyDescent="0.25">
      <c r="A287">
        <v>25500</v>
      </c>
      <c r="B287" t="s">
        <v>20</v>
      </c>
      <c r="E287">
        <v>9400</v>
      </c>
      <c r="F287" t="s">
        <v>14</v>
      </c>
    </row>
    <row r="288" spans="1:6" x14ac:dyDescent="0.25">
      <c r="A288">
        <v>18000</v>
      </c>
      <c r="B288" t="s">
        <v>20</v>
      </c>
      <c r="E288">
        <v>110800</v>
      </c>
      <c r="F288" t="s">
        <v>14</v>
      </c>
    </row>
    <row r="289" spans="1:6" x14ac:dyDescent="0.25">
      <c r="A289">
        <v>172700</v>
      </c>
      <c r="B289" t="s">
        <v>20</v>
      </c>
      <c r="E289">
        <v>93800</v>
      </c>
      <c r="F289" t="s">
        <v>14</v>
      </c>
    </row>
    <row r="290" spans="1:6" x14ac:dyDescent="0.25">
      <c r="A290">
        <v>7800</v>
      </c>
      <c r="B290" t="s">
        <v>20</v>
      </c>
      <c r="E290">
        <v>108700</v>
      </c>
      <c r="F290" t="s">
        <v>14</v>
      </c>
    </row>
    <row r="291" spans="1:6" x14ac:dyDescent="0.25">
      <c r="A291">
        <v>9100</v>
      </c>
      <c r="B291" t="s">
        <v>20</v>
      </c>
      <c r="E291">
        <v>61200</v>
      </c>
      <c r="F291" t="s">
        <v>14</v>
      </c>
    </row>
    <row r="292" spans="1:6" x14ac:dyDescent="0.25">
      <c r="A292">
        <v>5900</v>
      </c>
      <c r="B292" t="s">
        <v>20</v>
      </c>
      <c r="E292">
        <v>9000</v>
      </c>
      <c r="F292" t="s">
        <v>14</v>
      </c>
    </row>
    <row r="293" spans="1:6" x14ac:dyDescent="0.25">
      <c r="A293">
        <v>177700</v>
      </c>
      <c r="B293" t="s">
        <v>20</v>
      </c>
      <c r="E293">
        <v>2100</v>
      </c>
      <c r="F293" t="s">
        <v>14</v>
      </c>
    </row>
    <row r="294" spans="1:6" x14ac:dyDescent="0.25">
      <c r="A294">
        <v>800</v>
      </c>
      <c r="B294" t="s">
        <v>20</v>
      </c>
      <c r="E294">
        <v>2000</v>
      </c>
      <c r="F294" t="s">
        <v>14</v>
      </c>
    </row>
    <row r="295" spans="1:6" x14ac:dyDescent="0.25">
      <c r="A295">
        <v>7600</v>
      </c>
      <c r="B295" t="s">
        <v>20</v>
      </c>
      <c r="E295">
        <v>7100</v>
      </c>
      <c r="F295" t="s">
        <v>14</v>
      </c>
    </row>
    <row r="296" spans="1:6" x14ac:dyDescent="0.25">
      <c r="A296">
        <v>900</v>
      </c>
      <c r="B296" t="s">
        <v>20</v>
      </c>
      <c r="E296">
        <v>7800</v>
      </c>
      <c r="F296" t="s">
        <v>14</v>
      </c>
    </row>
    <row r="297" spans="1:6" x14ac:dyDescent="0.25">
      <c r="A297">
        <v>8300</v>
      </c>
      <c r="B297" t="s">
        <v>20</v>
      </c>
      <c r="E297">
        <v>84500</v>
      </c>
      <c r="F297" t="s">
        <v>14</v>
      </c>
    </row>
    <row r="298" spans="1:6" x14ac:dyDescent="0.25">
      <c r="A298">
        <v>1600</v>
      </c>
      <c r="B298" t="s">
        <v>20</v>
      </c>
      <c r="E298">
        <v>100</v>
      </c>
      <c r="F298" t="s">
        <v>14</v>
      </c>
    </row>
    <row r="299" spans="1:6" x14ac:dyDescent="0.25">
      <c r="A299">
        <v>115600</v>
      </c>
      <c r="B299" t="s">
        <v>20</v>
      </c>
      <c r="E299">
        <v>9700</v>
      </c>
      <c r="F299" t="s">
        <v>14</v>
      </c>
    </row>
    <row r="300" spans="1:6" x14ac:dyDescent="0.25">
      <c r="A300">
        <v>2600</v>
      </c>
      <c r="B300" t="s">
        <v>20</v>
      </c>
      <c r="E300">
        <v>5200</v>
      </c>
      <c r="F300" t="s">
        <v>14</v>
      </c>
    </row>
    <row r="301" spans="1:6" x14ac:dyDescent="0.25">
      <c r="A301">
        <v>9800</v>
      </c>
      <c r="B301" t="s">
        <v>20</v>
      </c>
      <c r="E301">
        <v>140800</v>
      </c>
      <c r="F301" t="s">
        <v>14</v>
      </c>
    </row>
    <row r="302" spans="1:6" x14ac:dyDescent="0.25">
      <c r="A302">
        <v>84400</v>
      </c>
      <c r="B302" t="s">
        <v>20</v>
      </c>
      <c r="E302">
        <v>92500</v>
      </c>
      <c r="F302" t="s">
        <v>14</v>
      </c>
    </row>
    <row r="303" spans="1:6" x14ac:dyDescent="0.25">
      <c r="A303">
        <v>5300</v>
      </c>
      <c r="B303" t="s">
        <v>20</v>
      </c>
      <c r="E303">
        <v>3200</v>
      </c>
      <c r="F303" t="s">
        <v>14</v>
      </c>
    </row>
    <row r="304" spans="1:6" x14ac:dyDescent="0.25">
      <c r="A304">
        <v>2800</v>
      </c>
      <c r="B304" t="s">
        <v>20</v>
      </c>
      <c r="E304">
        <v>8900</v>
      </c>
      <c r="F304" t="s">
        <v>14</v>
      </c>
    </row>
    <row r="305" spans="1:6" x14ac:dyDescent="0.25">
      <c r="A305">
        <v>4200</v>
      </c>
      <c r="B305" t="s">
        <v>20</v>
      </c>
      <c r="E305">
        <v>7100</v>
      </c>
      <c r="F305" t="s">
        <v>14</v>
      </c>
    </row>
    <row r="306" spans="1:6" x14ac:dyDescent="0.25">
      <c r="A306">
        <v>1300</v>
      </c>
      <c r="B306" t="s">
        <v>20</v>
      </c>
      <c r="E306">
        <v>9600</v>
      </c>
      <c r="F306" t="s">
        <v>14</v>
      </c>
    </row>
    <row r="307" spans="1:6" x14ac:dyDescent="0.25">
      <c r="A307">
        <v>66100</v>
      </c>
      <c r="B307" t="s">
        <v>20</v>
      </c>
      <c r="E307">
        <v>121600</v>
      </c>
      <c r="F307" t="s">
        <v>14</v>
      </c>
    </row>
    <row r="308" spans="1:6" x14ac:dyDescent="0.25">
      <c r="A308">
        <v>29500</v>
      </c>
      <c r="B308" t="s">
        <v>20</v>
      </c>
      <c r="E308">
        <v>86200</v>
      </c>
      <c r="F308" t="s">
        <v>14</v>
      </c>
    </row>
    <row r="309" spans="1:6" x14ac:dyDescent="0.25">
      <c r="A309">
        <v>9500</v>
      </c>
      <c r="B309" t="s">
        <v>20</v>
      </c>
      <c r="E309">
        <v>8100</v>
      </c>
      <c r="F309" t="s">
        <v>14</v>
      </c>
    </row>
    <row r="310" spans="1:6" x14ac:dyDescent="0.25">
      <c r="A310">
        <v>6300</v>
      </c>
      <c r="B310" t="s">
        <v>20</v>
      </c>
      <c r="E310">
        <v>8800</v>
      </c>
      <c r="F310" t="s">
        <v>14</v>
      </c>
    </row>
    <row r="311" spans="1:6" x14ac:dyDescent="0.25">
      <c r="A311">
        <v>5200</v>
      </c>
      <c r="B311" t="s">
        <v>20</v>
      </c>
      <c r="E311">
        <v>100</v>
      </c>
      <c r="F311" t="s">
        <v>14</v>
      </c>
    </row>
    <row r="312" spans="1:6" x14ac:dyDescent="0.25">
      <c r="A312">
        <v>6000</v>
      </c>
      <c r="B312" t="s">
        <v>20</v>
      </c>
      <c r="E312">
        <v>4900</v>
      </c>
      <c r="F312" t="s">
        <v>14</v>
      </c>
    </row>
    <row r="313" spans="1:6" x14ac:dyDescent="0.25">
      <c r="A313">
        <v>5800</v>
      </c>
      <c r="B313" t="s">
        <v>20</v>
      </c>
      <c r="E313">
        <v>4000</v>
      </c>
      <c r="F313" t="s">
        <v>14</v>
      </c>
    </row>
    <row r="314" spans="1:6" x14ac:dyDescent="0.25">
      <c r="A314">
        <v>105300</v>
      </c>
      <c r="B314" t="s">
        <v>20</v>
      </c>
      <c r="E314">
        <v>7300</v>
      </c>
      <c r="F314" t="s">
        <v>14</v>
      </c>
    </row>
    <row r="315" spans="1:6" x14ac:dyDescent="0.25">
      <c r="A315">
        <v>20000</v>
      </c>
      <c r="B315" t="s">
        <v>20</v>
      </c>
      <c r="E315">
        <v>161900</v>
      </c>
      <c r="F315" t="s">
        <v>14</v>
      </c>
    </row>
    <row r="316" spans="1:6" x14ac:dyDescent="0.25">
      <c r="A316">
        <v>3000</v>
      </c>
      <c r="B316" t="s">
        <v>20</v>
      </c>
      <c r="E316">
        <v>7700</v>
      </c>
      <c r="F316" t="s">
        <v>14</v>
      </c>
    </row>
    <row r="317" spans="1:6" x14ac:dyDescent="0.25">
      <c r="A317">
        <v>3700</v>
      </c>
      <c r="B317" t="s">
        <v>20</v>
      </c>
      <c r="E317">
        <v>7900</v>
      </c>
      <c r="F317" t="s">
        <v>14</v>
      </c>
    </row>
    <row r="318" spans="1:6" x14ac:dyDescent="0.25">
      <c r="A318">
        <v>94900</v>
      </c>
      <c r="B318" t="s">
        <v>20</v>
      </c>
      <c r="E318">
        <v>8300</v>
      </c>
      <c r="F318" t="s">
        <v>14</v>
      </c>
    </row>
    <row r="319" spans="1:6" x14ac:dyDescent="0.25">
      <c r="A319">
        <v>6800</v>
      </c>
      <c r="B319" t="s">
        <v>20</v>
      </c>
      <c r="E319">
        <v>163600</v>
      </c>
      <c r="F319" t="s">
        <v>14</v>
      </c>
    </row>
    <row r="320" spans="1:6" x14ac:dyDescent="0.25">
      <c r="A320">
        <v>72400</v>
      </c>
      <c r="B320" t="s">
        <v>20</v>
      </c>
      <c r="E320">
        <v>2700</v>
      </c>
      <c r="F320" t="s">
        <v>14</v>
      </c>
    </row>
    <row r="321" spans="1:6" x14ac:dyDescent="0.25">
      <c r="A321">
        <v>20100</v>
      </c>
      <c r="B321" t="s">
        <v>20</v>
      </c>
      <c r="E321">
        <v>81300</v>
      </c>
      <c r="F321" t="s">
        <v>14</v>
      </c>
    </row>
    <row r="322" spans="1:6" x14ac:dyDescent="0.25">
      <c r="A322">
        <v>31200</v>
      </c>
      <c r="B322" t="s">
        <v>20</v>
      </c>
      <c r="E322">
        <v>170800</v>
      </c>
      <c r="F322" t="s">
        <v>14</v>
      </c>
    </row>
    <row r="323" spans="1:6" x14ac:dyDescent="0.25">
      <c r="A323">
        <v>6700</v>
      </c>
      <c r="B323" t="s">
        <v>20</v>
      </c>
      <c r="E323">
        <v>150600</v>
      </c>
      <c r="F323" t="s">
        <v>14</v>
      </c>
    </row>
    <row r="324" spans="1:6" x14ac:dyDescent="0.25">
      <c r="A324">
        <v>2700</v>
      </c>
      <c r="B324" t="s">
        <v>20</v>
      </c>
      <c r="E324">
        <v>7800</v>
      </c>
      <c r="F324" t="s">
        <v>14</v>
      </c>
    </row>
    <row r="325" spans="1:6" x14ac:dyDescent="0.25">
      <c r="A325">
        <v>6200</v>
      </c>
      <c r="B325" t="s">
        <v>20</v>
      </c>
      <c r="E325">
        <v>159800</v>
      </c>
      <c r="F325" t="s">
        <v>14</v>
      </c>
    </row>
    <row r="326" spans="1:6" x14ac:dyDescent="0.25">
      <c r="A326">
        <v>43800</v>
      </c>
      <c r="B326" t="s">
        <v>20</v>
      </c>
      <c r="E326">
        <v>8800</v>
      </c>
      <c r="F326" t="s">
        <v>14</v>
      </c>
    </row>
    <row r="327" spans="1:6" x14ac:dyDescent="0.25">
      <c r="A327">
        <v>18900</v>
      </c>
      <c r="B327" t="s">
        <v>20</v>
      </c>
      <c r="E327">
        <v>179100</v>
      </c>
      <c r="F327" t="s">
        <v>14</v>
      </c>
    </row>
    <row r="328" spans="1:6" x14ac:dyDescent="0.25">
      <c r="A328">
        <v>86400</v>
      </c>
      <c r="B328" t="s">
        <v>20</v>
      </c>
      <c r="E328">
        <v>100</v>
      </c>
      <c r="F328" t="s">
        <v>14</v>
      </c>
    </row>
    <row r="329" spans="1:6" x14ac:dyDescent="0.25">
      <c r="A329">
        <v>8900</v>
      </c>
      <c r="B329" t="s">
        <v>20</v>
      </c>
      <c r="E329">
        <v>6500</v>
      </c>
      <c r="F329" t="s">
        <v>14</v>
      </c>
    </row>
    <row r="330" spans="1:6" x14ac:dyDescent="0.25">
      <c r="A330">
        <v>700</v>
      </c>
      <c r="B330" t="s">
        <v>20</v>
      </c>
      <c r="E330">
        <v>9100</v>
      </c>
      <c r="F330" t="s">
        <v>14</v>
      </c>
    </row>
    <row r="331" spans="1:6" x14ac:dyDescent="0.25">
      <c r="A331">
        <v>600</v>
      </c>
      <c r="B331" t="s">
        <v>20</v>
      </c>
      <c r="E331">
        <v>70200</v>
      </c>
      <c r="F331" t="s">
        <v>14</v>
      </c>
    </row>
    <row r="332" spans="1:6" x14ac:dyDescent="0.25">
      <c r="A332">
        <v>121600</v>
      </c>
      <c r="B332" t="s">
        <v>20</v>
      </c>
      <c r="E332">
        <v>6400</v>
      </c>
      <c r="F332" t="s">
        <v>14</v>
      </c>
    </row>
    <row r="333" spans="1:6" x14ac:dyDescent="0.25">
      <c r="A333">
        <v>70300</v>
      </c>
      <c r="B333" t="s">
        <v>20</v>
      </c>
      <c r="E333">
        <v>3700</v>
      </c>
      <c r="F333" t="s">
        <v>14</v>
      </c>
    </row>
    <row r="334" spans="1:6" x14ac:dyDescent="0.25">
      <c r="A334">
        <v>73800</v>
      </c>
      <c r="B334" t="s">
        <v>20</v>
      </c>
      <c r="E334">
        <v>35600</v>
      </c>
      <c r="F334" t="s">
        <v>14</v>
      </c>
    </row>
    <row r="335" spans="1:6" x14ac:dyDescent="0.25">
      <c r="A335">
        <v>108500</v>
      </c>
      <c r="B335" t="s">
        <v>20</v>
      </c>
      <c r="E335">
        <v>160400</v>
      </c>
      <c r="F335" t="s">
        <v>14</v>
      </c>
    </row>
    <row r="336" spans="1:6" x14ac:dyDescent="0.25">
      <c r="A336">
        <v>6300</v>
      </c>
      <c r="B336" t="s">
        <v>20</v>
      </c>
      <c r="E336">
        <v>8700</v>
      </c>
      <c r="F336" t="s">
        <v>14</v>
      </c>
    </row>
    <row r="337" spans="1:6" x14ac:dyDescent="0.25">
      <c r="A337">
        <v>71100</v>
      </c>
      <c r="B337" t="s">
        <v>20</v>
      </c>
      <c r="E337">
        <v>7200</v>
      </c>
      <c r="F337" t="s">
        <v>14</v>
      </c>
    </row>
    <row r="338" spans="1:6" x14ac:dyDescent="0.25">
      <c r="A338">
        <v>5300</v>
      </c>
      <c r="B338" t="s">
        <v>20</v>
      </c>
      <c r="E338">
        <v>7900</v>
      </c>
      <c r="F338" t="s">
        <v>14</v>
      </c>
    </row>
    <row r="339" spans="1:6" x14ac:dyDescent="0.25">
      <c r="A339">
        <v>88700</v>
      </c>
      <c r="B339" t="s">
        <v>20</v>
      </c>
      <c r="E339">
        <v>103200</v>
      </c>
      <c r="F339" t="s">
        <v>14</v>
      </c>
    </row>
    <row r="340" spans="1:6" x14ac:dyDescent="0.25">
      <c r="A340">
        <v>3300</v>
      </c>
      <c r="B340" t="s">
        <v>20</v>
      </c>
      <c r="E340">
        <v>7800</v>
      </c>
      <c r="F340" t="s">
        <v>14</v>
      </c>
    </row>
    <row r="341" spans="1:6" x14ac:dyDescent="0.25">
      <c r="A341">
        <v>3400</v>
      </c>
      <c r="B341" t="s">
        <v>20</v>
      </c>
      <c r="E341">
        <v>43000</v>
      </c>
      <c r="F341" t="s">
        <v>14</v>
      </c>
    </row>
    <row r="342" spans="1:6" x14ac:dyDescent="0.25">
      <c r="A342">
        <v>137600</v>
      </c>
      <c r="B342" t="s">
        <v>20</v>
      </c>
      <c r="E342">
        <v>9600</v>
      </c>
      <c r="F342" t="s">
        <v>14</v>
      </c>
    </row>
    <row r="343" spans="1:6" x14ac:dyDescent="0.25">
      <c r="A343">
        <v>3900</v>
      </c>
      <c r="B343" t="s">
        <v>20</v>
      </c>
      <c r="E343">
        <v>10000</v>
      </c>
      <c r="F343" t="s">
        <v>14</v>
      </c>
    </row>
    <row r="344" spans="1:6" x14ac:dyDescent="0.25">
      <c r="A344">
        <v>10000</v>
      </c>
      <c r="B344" t="s">
        <v>20</v>
      </c>
      <c r="E344">
        <v>172000</v>
      </c>
      <c r="F344" t="s">
        <v>14</v>
      </c>
    </row>
    <row r="345" spans="1:6" x14ac:dyDescent="0.25">
      <c r="A345">
        <v>42800</v>
      </c>
      <c r="B345" t="s">
        <v>20</v>
      </c>
      <c r="E345">
        <v>153700</v>
      </c>
      <c r="F345" t="s">
        <v>14</v>
      </c>
    </row>
    <row r="346" spans="1:6" x14ac:dyDescent="0.25">
      <c r="A346">
        <v>6200</v>
      </c>
      <c r="B346" t="s">
        <v>20</v>
      </c>
      <c r="E346">
        <v>3600</v>
      </c>
      <c r="F346" t="s">
        <v>14</v>
      </c>
    </row>
    <row r="347" spans="1:6" x14ac:dyDescent="0.25">
      <c r="A347">
        <v>1100</v>
      </c>
      <c r="B347" t="s">
        <v>20</v>
      </c>
      <c r="E347">
        <v>100</v>
      </c>
      <c r="F347" t="s">
        <v>14</v>
      </c>
    </row>
    <row r="348" spans="1:6" x14ac:dyDescent="0.25">
      <c r="A348">
        <v>26500</v>
      </c>
      <c r="B348" t="s">
        <v>20</v>
      </c>
      <c r="E348">
        <v>3300</v>
      </c>
      <c r="F348" t="s">
        <v>14</v>
      </c>
    </row>
    <row r="349" spans="1:6" x14ac:dyDescent="0.25">
      <c r="A349">
        <v>8500</v>
      </c>
      <c r="B349" t="s">
        <v>20</v>
      </c>
      <c r="E349">
        <v>187600</v>
      </c>
      <c r="F349" t="s">
        <v>14</v>
      </c>
    </row>
    <row r="350" spans="1:6" x14ac:dyDescent="0.25">
      <c r="A350">
        <v>6400</v>
      </c>
      <c r="B350" t="s">
        <v>20</v>
      </c>
      <c r="E350">
        <v>145000</v>
      </c>
      <c r="F350" t="s">
        <v>14</v>
      </c>
    </row>
    <row r="351" spans="1:6" x14ac:dyDescent="0.25">
      <c r="A351">
        <v>1400</v>
      </c>
      <c r="B351" t="s">
        <v>20</v>
      </c>
      <c r="E351">
        <v>5500</v>
      </c>
      <c r="F351" t="s">
        <v>14</v>
      </c>
    </row>
    <row r="352" spans="1:6" x14ac:dyDescent="0.25">
      <c r="A352">
        <v>4300</v>
      </c>
      <c r="B352" t="s">
        <v>20</v>
      </c>
      <c r="E352">
        <v>5900</v>
      </c>
      <c r="F352" t="s">
        <v>14</v>
      </c>
    </row>
    <row r="353" spans="1:6" x14ac:dyDescent="0.25">
      <c r="A353">
        <v>25600</v>
      </c>
      <c r="B353" t="s">
        <v>20</v>
      </c>
      <c r="E353">
        <v>94900</v>
      </c>
      <c r="F353" t="s">
        <v>14</v>
      </c>
    </row>
    <row r="354" spans="1:6" x14ac:dyDescent="0.25">
      <c r="A354">
        <v>94300</v>
      </c>
      <c r="B354" t="s">
        <v>20</v>
      </c>
      <c r="E354">
        <v>5100</v>
      </c>
      <c r="F354" t="s">
        <v>14</v>
      </c>
    </row>
    <row r="355" spans="1:6" x14ac:dyDescent="0.25">
      <c r="A355">
        <v>5100</v>
      </c>
      <c r="B355" t="s">
        <v>20</v>
      </c>
      <c r="E355">
        <v>121100</v>
      </c>
      <c r="F355" t="s">
        <v>14</v>
      </c>
    </row>
    <row r="356" spans="1:6" x14ac:dyDescent="0.25">
      <c r="A356">
        <v>6400</v>
      </c>
      <c r="B356" t="s">
        <v>20</v>
      </c>
      <c r="E356">
        <v>7000</v>
      </c>
      <c r="F356" t="s">
        <v>14</v>
      </c>
    </row>
    <row r="357" spans="1:6" x14ac:dyDescent="0.25">
      <c r="A357">
        <v>1600</v>
      </c>
      <c r="B357" t="s">
        <v>20</v>
      </c>
      <c r="E357">
        <v>195200</v>
      </c>
      <c r="F357" t="s">
        <v>14</v>
      </c>
    </row>
    <row r="358" spans="1:6" x14ac:dyDescent="0.25">
      <c r="A358">
        <v>1900</v>
      </c>
      <c r="B358" t="s">
        <v>20</v>
      </c>
      <c r="E358">
        <v>7200</v>
      </c>
      <c r="F358" t="s">
        <v>14</v>
      </c>
    </row>
    <row r="359" spans="1:6" x14ac:dyDescent="0.25">
      <c r="A359">
        <v>59200</v>
      </c>
      <c r="B359" t="s">
        <v>20</v>
      </c>
      <c r="E359">
        <v>170600</v>
      </c>
      <c r="F359" t="s">
        <v>14</v>
      </c>
    </row>
    <row r="360" spans="1:6" x14ac:dyDescent="0.25">
      <c r="A360">
        <v>139000</v>
      </c>
      <c r="B360" t="s">
        <v>20</v>
      </c>
      <c r="E360">
        <v>7800</v>
      </c>
      <c r="F360" t="s">
        <v>14</v>
      </c>
    </row>
    <row r="361" spans="1:6" x14ac:dyDescent="0.25">
      <c r="A361">
        <v>9400</v>
      </c>
      <c r="B361" t="s">
        <v>20</v>
      </c>
      <c r="E361">
        <v>9400</v>
      </c>
      <c r="F361" t="s">
        <v>14</v>
      </c>
    </row>
    <row r="362" spans="1:6" x14ac:dyDescent="0.25">
      <c r="A362">
        <v>9200</v>
      </c>
      <c r="B362" t="s">
        <v>20</v>
      </c>
      <c r="E362">
        <v>7800</v>
      </c>
      <c r="F362" t="s">
        <v>14</v>
      </c>
    </row>
    <row r="363" spans="1:6" x14ac:dyDescent="0.25">
      <c r="A363">
        <v>14900</v>
      </c>
      <c r="B363" t="s">
        <v>20</v>
      </c>
      <c r="E363">
        <v>141100</v>
      </c>
      <c r="F363" t="s">
        <v>14</v>
      </c>
    </row>
    <row r="364" spans="1:6" x14ac:dyDescent="0.25">
      <c r="A364">
        <v>10000</v>
      </c>
      <c r="B364" t="s">
        <v>20</v>
      </c>
      <c r="E364">
        <v>6600</v>
      </c>
      <c r="F364" t="s">
        <v>14</v>
      </c>
    </row>
    <row r="365" spans="1:6" x14ac:dyDescent="0.25">
      <c r="A365">
        <v>600</v>
      </c>
      <c r="B365" t="s">
        <v>20</v>
      </c>
      <c r="E365">
        <v>66600</v>
      </c>
      <c r="F365" t="s">
        <v>14</v>
      </c>
    </row>
    <row r="366" spans="1:6" x14ac:dyDescent="0.25">
      <c r="A366">
        <v>35000</v>
      </c>
      <c r="B366" t="s">
        <v>20</v>
      </c>
    </row>
    <row r="367" spans="1:6" x14ac:dyDescent="0.25">
      <c r="A367">
        <v>6900</v>
      </c>
      <c r="B367" t="s">
        <v>20</v>
      </c>
    </row>
    <row r="368" spans="1:6" x14ac:dyDescent="0.25">
      <c r="A368">
        <v>5100</v>
      </c>
      <c r="B368" t="s">
        <v>20</v>
      </c>
    </row>
    <row r="369" spans="1:2" x14ac:dyDescent="0.25">
      <c r="A369">
        <v>6900</v>
      </c>
      <c r="B369" t="s">
        <v>20</v>
      </c>
    </row>
    <row r="370" spans="1:2" x14ac:dyDescent="0.25">
      <c r="A370">
        <v>48800</v>
      </c>
      <c r="B370" t="s">
        <v>20</v>
      </c>
    </row>
    <row r="371" spans="1:2" x14ac:dyDescent="0.25">
      <c r="A371">
        <v>16200</v>
      </c>
      <c r="B371" t="s">
        <v>20</v>
      </c>
    </row>
    <row r="372" spans="1:2" x14ac:dyDescent="0.25">
      <c r="A372">
        <v>97600</v>
      </c>
      <c r="B372" t="s">
        <v>20</v>
      </c>
    </row>
    <row r="373" spans="1:2" x14ac:dyDescent="0.25">
      <c r="A373">
        <v>9700</v>
      </c>
      <c r="B373" t="s">
        <v>20</v>
      </c>
    </row>
    <row r="374" spans="1:2" x14ac:dyDescent="0.25">
      <c r="A374">
        <v>62300</v>
      </c>
      <c r="B374" t="s">
        <v>20</v>
      </c>
    </row>
    <row r="375" spans="1:2" x14ac:dyDescent="0.25">
      <c r="A375">
        <v>1400</v>
      </c>
      <c r="B375" t="s">
        <v>20</v>
      </c>
    </row>
    <row r="376" spans="1:2" x14ac:dyDescent="0.25">
      <c r="A376">
        <v>5400</v>
      </c>
      <c r="B376" t="s">
        <v>20</v>
      </c>
    </row>
    <row r="377" spans="1:2" x14ac:dyDescent="0.25">
      <c r="A377">
        <v>2300</v>
      </c>
      <c r="B377" t="s">
        <v>20</v>
      </c>
    </row>
    <row r="378" spans="1:2" x14ac:dyDescent="0.25">
      <c r="A378">
        <v>1400</v>
      </c>
      <c r="B378" t="s">
        <v>20</v>
      </c>
    </row>
    <row r="379" spans="1:2" x14ac:dyDescent="0.25">
      <c r="A379">
        <v>7500</v>
      </c>
      <c r="B379" t="s">
        <v>20</v>
      </c>
    </row>
    <row r="380" spans="1:2" x14ac:dyDescent="0.25">
      <c r="A380">
        <v>1500</v>
      </c>
      <c r="B380" t="s">
        <v>20</v>
      </c>
    </row>
    <row r="381" spans="1:2" x14ac:dyDescent="0.25">
      <c r="A381">
        <v>2900</v>
      </c>
      <c r="B381" t="s">
        <v>20</v>
      </c>
    </row>
    <row r="382" spans="1:2" x14ac:dyDescent="0.25">
      <c r="A382">
        <v>7300</v>
      </c>
      <c r="B382" t="s">
        <v>20</v>
      </c>
    </row>
    <row r="383" spans="1:2" x14ac:dyDescent="0.25">
      <c r="A383">
        <v>3600</v>
      </c>
      <c r="B383" t="s">
        <v>20</v>
      </c>
    </row>
    <row r="384" spans="1:2" x14ac:dyDescent="0.25">
      <c r="A384">
        <v>5000</v>
      </c>
      <c r="B384" t="s">
        <v>20</v>
      </c>
    </row>
    <row r="385" spans="1:2" x14ac:dyDescent="0.25">
      <c r="A385">
        <v>9200</v>
      </c>
      <c r="B385" t="s">
        <v>20</v>
      </c>
    </row>
    <row r="386" spans="1:2" x14ac:dyDescent="0.25">
      <c r="A386">
        <v>128900</v>
      </c>
      <c r="B386" t="s">
        <v>20</v>
      </c>
    </row>
    <row r="387" spans="1:2" x14ac:dyDescent="0.25">
      <c r="A387">
        <v>42100</v>
      </c>
      <c r="B387" t="s">
        <v>20</v>
      </c>
    </row>
    <row r="388" spans="1:2" x14ac:dyDescent="0.25">
      <c r="A388">
        <v>52000</v>
      </c>
      <c r="B388" t="s">
        <v>20</v>
      </c>
    </row>
    <row r="389" spans="1:2" x14ac:dyDescent="0.25">
      <c r="A389">
        <v>63400</v>
      </c>
      <c r="B389" t="s">
        <v>20</v>
      </c>
    </row>
    <row r="390" spans="1:2" x14ac:dyDescent="0.25">
      <c r="A390">
        <v>8700</v>
      </c>
      <c r="B390" t="s">
        <v>20</v>
      </c>
    </row>
    <row r="391" spans="1:2" x14ac:dyDescent="0.25">
      <c r="A391">
        <v>108400</v>
      </c>
      <c r="B391" t="s">
        <v>20</v>
      </c>
    </row>
    <row r="392" spans="1:2" x14ac:dyDescent="0.25">
      <c r="A392">
        <v>7300</v>
      </c>
      <c r="B392" t="s">
        <v>20</v>
      </c>
    </row>
    <row r="393" spans="1:2" x14ac:dyDescent="0.25">
      <c r="A393">
        <v>1700</v>
      </c>
      <c r="B393" t="s">
        <v>20</v>
      </c>
    </row>
    <row r="394" spans="1:2" x14ac:dyDescent="0.25">
      <c r="A394">
        <v>9800</v>
      </c>
      <c r="B394" t="s">
        <v>20</v>
      </c>
    </row>
    <row r="395" spans="1:2" x14ac:dyDescent="0.25">
      <c r="A395">
        <v>4300</v>
      </c>
      <c r="B395" t="s">
        <v>20</v>
      </c>
    </row>
    <row r="396" spans="1:2" x14ac:dyDescent="0.25">
      <c r="A396">
        <v>800</v>
      </c>
      <c r="B396" t="s">
        <v>20</v>
      </c>
    </row>
    <row r="397" spans="1:2" x14ac:dyDescent="0.25">
      <c r="A397">
        <v>6900</v>
      </c>
      <c r="B397" t="s">
        <v>20</v>
      </c>
    </row>
    <row r="398" spans="1:2" x14ac:dyDescent="0.25">
      <c r="A398">
        <v>38500</v>
      </c>
      <c r="B398" t="s">
        <v>20</v>
      </c>
    </row>
    <row r="399" spans="1:2" x14ac:dyDescent="0.25">
      <c r="A399">
        <v>2000</v>
      </c>
      <c r="B399" t="s">
        <v>20</v>
      </c>
    </row>
    <row r="400" spans="1:2" x14ac:dyDescent="0.25">
      <c r="A400">
        <v>5600</v>
      </c>
      <c r="B400" t="s">
        <v>20</v>
      </c>
    </row>
    <row r="401" spans="1:2" x14ac:dyDescent="0.25">
      <c r="A401">
        <v>8300</v>
      </c>
      <c r="B401" t="s">
        <v>20</v>
      </c>
    </row>
    <row r="402" spans="1:2" x14ac:dyDescent="0.25">
      <c r="A402">
        <v>6900</v>
      </c>
      <c r="B402" t="s">
        <v>20</v>
      </c>
    </row>
    <row r="403" spans="1:2" x14ac:dyDescent="0.25">
      <c r="A403">
        <v>48500</v>
      </c>
      <c r="B403" t="s">
        <v>20</v>
      </c>
    </row>
    <row r="404" spans="1:2" x14ac:dyDescent="0.25">
      <c r="A404">
        <v>4900</v>
      </c>
      <c r="B404" t="s">
        <v>20</v>
      </c>
    </row>
    <row r="405" spans="1:2" x14ac:dyDescent="0.25">
      <c r="A405">
        <v>8400</v>
      </c>
      <c r="B405" t="s">
        <v>20</v>
      </c>
    </row>
    <row r="406" spans="1:2" x14ac:dyDescent="0.25">
      <c r="A406">
        <v>8900</v>
      </c>
      <c r="B406" t="s">
        <v>20</v>
      </c>
    </row>
    <row r="407" spans="1:2" x14ac:dyDescent="0.25">
      <c r="A407">
        <v>5600</v>
      </c>
      <c r="B407" t="s">
        <v>20</v>
      </c>
    </row>
    <row r="408" spans="1:2" x14ac:dyDescent="0.25">
      <c r="A408">
        <v>28800</v>
      </c>
      <c r="B408" t="s">
        <v>20</v>
      </c>
    </row>
    <row r="409" spans="1:2" x14ac:dyDescent="0.25">
      <c r="A409">
        <v>15800</v>
      </c>
      <c r="B409" t="s">
        <v>20</v>
      </c>
    </row>
    <row r="410" spans="1:2" x14ac:dyDescent="0.25">
      <c r="A410">
        <v>4200</v>
      </c>
      <c r="B410" t="s">
        <v>20</v>
      </c>
    </row>
    <row r="411" spans="1:2" x14ac:dyDescent="0.25">
      <c r="A411">
        <v>37100</v>
      </c>
      <c r="B411" t="s">
        <v>20</v>
      </c>
    </row>
    <row r="412" spans="1:2" x14ac:dyDescent="0.25">
      <c r="A412">
        <v>3700</v>
      </c>
      <c r="B412" t="s">
        <v>20</v>
      </c>
    </row>
    <row r="413" spans="1:2" x14ac:dyDescent="0.25">
      <c r="A413">
        <v>1200</v>
      </c>
      <c r="B413" t="s">
        <v>20</v>
      </c>
    </row>
    <row r="414" spans="1:2" x14ac:dyDescent="0.25">
      <c r="A414">
        <v>1200</v>
      </c>
      <c r="B414" t="s">
        <v>20</v>
      </c>
    </row>
    <row r="415" spans="1:2" x14ac:dyDescent="0.25">
      <c r="A415">
        <v>2000</v>
      </c>
      <c r="B415" t="s">
        <v>20</v>
      </c>
    </row>
    <row r="416" spans="1:2" x14ac:dyDescent="0.25">
      <c r="A416">
        <v>55800</v>
      </c>
      <c r="B416" t="s">
        <v>20</v>
      </c>
    </row>
    <row r="417" spans="1:2" x14ac:dyDescent="0.25">
      <c r="A417">
        <v>4900</v>
      </c>
      <c r="B417" t="s">
        <v>20</v>
      </c>
    </row>
    <row r="418" spans="1:2" x14ac:dyDescent="0.25">
      <c r="A418">
        <v>8600</v>
      </c>
      <c r="B418" t="s">
        <v>20</v>
      </c>
    </row>
    <row r="419" spans="1:2" x14ac:dyDescent="0.25">
      <c r="A419">
        <v>3600</v>
      </c>
      <c r="B419" t="s">
        <v>20</v>
      </c>
    </row>
    <row r="420" spans="1:2" x14ac:dyDescent="0.25">
      <c r="A420">
        <v>4700</v>
      </c>
      <c r="B420" t="s">
        <v>20</v>
      </c>
    </row>
    <row r="421" spans="1:2" x14ac:dyDescent="0.25">
      <c r="A421">
        <v>70400</v>
      </c>
      <c r="B421" t="s">
        <v>20</v>
      </c>
    </row>
    <row r="422" spans="1:2" x14ac:dyDescent="0.25">
      <c r="A422">
        <v>4500</v>
      </c>
      <c r="B422" t="s">
        <v>20</v>
      </c>
    </row>
    <row r="423" spans="1:2" x14ac:dyDescent="0.25">
      <c r="A423">
        <v>1300</v>
      </c>
      <c r="B423" t="s">
        <v>20</v>
      </c>
    </row>
    <row r="424" spans="1:2" x14ac:dyDescent="0.25">
      <c r="A424">
        <v>1400</v>
      </c>
      <c r="B424" t="s">
        <v>20</v>
      </c>
    </row>
    <row r="425" spans="1:2" x14ac:dyDescent="0.25">
      <c r="A425">
        <v>29600</v>
      </c>
      <c r="B425" t="s">
        <v>20</v>
      </c>
    </row>
    <row r="426" spans="1:2" x14ac:dyDescent="0.25">
      <c r="A426">
        <v>2200</v>
      </c>
      <c r="B426" t="s">
        <v>20</v>
      </c>
    </row>
    <row r="427" spans="1:2" x14ac:dyDescent="0.25">
      <c r="A427">
        <v>3500</v>
      </c>
      <c r="B427" t="s">
        <v>20</v>
      </c>
    </row>
    <row r="428" spans="1:2" x14ac:dyDescent="0.25">
      <c r="A428">
        <v>5600</v>
      </c>
      <c r="B428" t="s">
        <v>20</v>
      </c>
    </row>
    <row r="429" spans="1:2" x14ac:dyDescent="0.25">
      <c r="A429">
        <v>1100</v>
      </c>
      <c r="B429" t="s">
        <v>20</v>
      </c>
    </row>
    <row r="430" spans="1:2" x14ac:dyDescent="0.25">
      <c r="A430">
        <v>3900</v>
      </c>
      <c r="B430" t="s">
        <v>20</v>
      </c>
    </row>
    <row r="431" spans="1:2" x14ac:dyDescent="0.25">
      <c r="A431">
        <v>4800</v>
      </c>
      <c r="B431" t="s">
        <v>20</v>
      </c>
    </row>
    <row r="432" spans="1:2" x14ac:dyDescent="0.25">
      <c r="A432">
        <v>4300</v>
      </c>
      <c r="B432" t="s">
        <v>20</v>
      </c>
    </row>
    <row r="433" spans="1:2" x14ac:dyDescent="0.25">
      <c r="A433">
        <v>149600</v>
      </c>
      <c r="B433" t="s">
        <v>20</v>
      </c>
    </row>
    <row r="434" spans="1:2" x14ac:dyDescent="0.25">
      <c r="A434">
        <v>53100</v>
      </c>
      <c r="B434" t="s">
        <v>20</v>
      </c>
    </row>
    <row r="435" spans="1:2" x14ac:dyDescent="0.25">
      <c r="A435">
        <v>5000</v>
      </c>
      <c r="B435" t="s">
        <v>20</v>
      </c>
    </row>
    <row r="436" spans="1:2" x14ac:dyDescent="0.25">
      <c r="A436">
        <v>1300</v>
      </c>
      <c r="B436" t="s">
        <v>20</v>
      </c>
    </row>
    <row r="437" spans="1:2" x14ac:dyDescent="0.25">
      <c r="A437">
        <v>5100</v>
      </c>
      <c r="B437" t="s">
        <v>20</v>
      </c>
    </row>
    <row r="438" spans="1:2" x14ac:dyDescent="0.25">
      <c r="A438">
        <v>5100</v>
      </c>
      <c r="B438" t="s">
        <v>20</v>
      </c>
    </row>
    <row r="439" spans="1:2" x14ac:dyDescent="0.25">
      <c r="A439">
        <v>7400</v>
      </c>
      <c r="B439" t="s">
        <v>20</v>
      </c>
    </row>
    <row r="440" spans="1:2" x14ac:dyDescent="0.25">
      <c r="A440">
        <v>88900</v>
      </c>
      <c r="B440" t="s">
        <v>20</v>
      </c>
    </row>
    <row r="441" spans="1:2" x14ac:dyDescent="0.25">
      <c r="A441">
        <v>6700</v>
      </c>
      <c r="B441" t="s">
        <v>20</v>
      </c>
    </row>
    <row r="442" spans="1:2" x14ac:dyDescent="0.25">
      <c r="A442">
        <v>1500</v>
      </c>
      <c r="B442" t="s">
        <v>20</v>
      </c>
    </row>
    <row r="443" spans="1:2" x14ac:dyDescent="0.25">
      <c r="A443">
        <v>1100</v>
      </c>
      <c r="B443" t="s">
        <v>20</v>
      </c>
    </row>
    <row r="444" spans="1:2" x14ac:dyDescent="0.25">
      <c r="A444">
        <v>6600</v>
      </c>
      <c r="B444" t="s">
        <v>20</v>
      </c>
    </row>
    <row r="445" spans="1:2" x14ac:dyDescent="0.25">
      <c r="A445">
        <v>7600</v>
      </c>
      <c r="B445" t="s">
        <v>20</v>
      </c>
    </row>
    <row r="446" spans="1:2" x14ac:dyDescent="0.25">
      <c r="A446">
        <v>3400</v>
      </c>
      <c r="B446" t="s">
        <v>20</v>
      </c>
    </row>
    <row r="447" spans="1:2" x14ac:dyDescent="0.25">
      <c r="A447">
        <v>2300</v>
      </c>
      <c r="B447" t="s">
        <v>20</v>
      </c>
    </row>
    <row r="448" spans="1:2" x14ac:dyDescent="0.25">
      <c r="A448">
        <v>6200</v>
      </c>
      <c r="B448" t="s">
        <v>20</v>
      </c>
    </row>
    <row r="449" spans="1:2" x14ac:dyDescent="0.25">
      <c r="A449">
        <v>6100</v>
      </c>
      <c r="B449" t="s">
        <v>20</v>
      </c>
    </row>
    <row r="450" spans="1:2" x14ac:dyDescent="0.25">
      <c r="A450">
        <v>2600</v>
      </c>
      <c r="B450" t="s">
        <v>20</v>
      </c>
    </row>
    <row r="451" spans="1:2" x14ac:dyDescent="0.25">
      <c r="A451">
        <v>700</v>
      </c>
      <c r="B451" t="s">
        <v>20</v>
      </c>
    </row>
    <row r="452" spans="1:2" x14ac:dyDescent="0.25">
      <c r="A452">
        <v>700</v>
      </c>
      <c r="B452" t="s">
        <v>20</v>
      </c>
    </row>
    <row r="453" spans="1:2" x14ac:dyDescent="0.25">
      <c r="A453">
        <v>6400</v>
      </c>
      <c r="B453" t="s">
        <v>20</v>
      </c>
    </row>
    <row r="454" spans="1:2" x14ac:dyDescent="0.25">
      <c r="A454">
        <v>59700</v>
      </c>
      <c r="B454" t="s">
        <v>20</v>
      </c>
    </row>
    <row r="455" spans="1:2" x14ac:dyDescent="0.25">
      <c r="A455">
        <v>3200</v>
      </c>
      <c r="B455" t="s">
        <v>20</v>
      </c>
    </row>
    <row r="456" spans="1:2" x14ac:dyDescent="0.25">
      <c r="A456">
        <v>9000</v>
      </c>
      <c r="B456" t="s">
        <v>20</v>
      </c>
    </row>
    <row r="457" spans="1:2" x14ac:dyDescent="0.25">
      <c r="A457">
        <v>2300</v>
      </c>
      <c r="B457" t="s">
        <v>20</v>
      </c>
    </row>
    <row r="458" spans="1:2" x14ac:dyDescent="0.25">
      <c r="A458">
        <v>51300</v>
      </c>
      <c r="B458" t="s">
        <v>20</v>
      </c>
    </row>
    <row r="459" spans="1:2" x14ac:dyDescent="0.25">
      <c r="A459">
        <v>700</v>
      </c>
      <c r="B459" t="s">
        <v>20</v>
      </c>
    </row>
    <row r="460" spans="1:2" x14ac:dyDescent="0.25">
      <c r="A460">
        <v>1500</v>
      </c>
      <c r="B460" t="s">
        <v>20</v>
      </c>
    </row>
    <row r="461" spans="1:2" x14ac:dyDescent="0.25">
      <c r="A461">
        <v>4900</v>
      </c>
      <c r="B461" t="s">
        <v>20</v>
      </c>
    </row>
    <row r="462" spans="1:2" x14ac:dyDescent="0.25">
      <c r="A462">
        <v>54000</v>
      </c>
      <c r="B462" t="s">
        <v>20</v>
      </c>
    </row>
    <row r="463" spans="1:2" x14ac:dyDescent="0.25">
      <c r="A463">
        <v>4100</v>
      </c>
      <c r="B463" t="s">
        <v>20</v>
      </c>
    </row>
    <row r="464" spans="1:2" x14ac:dyDescent="0.25">
      <c r="A464">
        <v>85000</v>
      </c>
      <c r="B464" t="s">
        <v>20</v>
      </c>
    </row>
    <row r="465" spans="1:2" x14ac:dyDescent="0.25">
      <c r="A465">
        <v>3600</v>
      </c>
      <c r="B465" t="s">
        <v>20</v>
      </c>
    </row>
    <row r="466" spans="1:2" x14ac:dyDescent="0.25">
      <c r="A466">
        <v>2800</v>
      </c>
      <c r="B466" t="s">
        <v>20</v>
      </c>
    </row>
    <row r="467" spans="1:2" x14ac:dyDescent="0.25">
      <c r="A467">
        <v>2300</v>
      </c>
      <c r="B467" t="s">
        <v>20</v>
      </c>
    </row>
    <row r="468" spans="1:2" x14ac:dyDescent="0.25">
      <c r="A468">
        <v>97100</v>
      </c>
      <c r="B468" t="s">
        <v>20</v>
      </c>
    </row>
    <row r="469" spans="1:2" x14ac:dyDescent="0.25">
      <c r="A469">
        <v>43200</v>
      </c>
      <c r="B469" t="s">
        <v>20</v>
      </c>
    </row>
    <row r="470" spans="1:2" x14ac:dyDescent="0.25">
      <c r="A470">
        <v>6800</v>
      </c>
      <c r="B470" t="s">
        <v>20</v>
      </c>
    </row>
    <row r="471" spans="1:2" x14ac:dyDescent="0.25">
      <c r="A471">
        <v>7300</v>
      </c>
      <c r="B471" t="s">
        <v>20</v>
      </c>
    </row>
    <row r="472" spans="1:2" x14ac:dyDescent="0.25">
      <c r="A472">
        <v>17700</v>
      </c>
      <c r="B472" t="s">
        <v>20</v>
      </c>
    </row>
    <row r="473" spans="1:2" x14ac:dyDescent="0.25">
      <c r="A473">
        <v>6400</v>
      </c>
      <c r="B473" t="s">
        <v>20</v>
      </c>
    </row>
    <row r="474" spans="1:2" x14ac:dyDescent="0.25">
      <c r="A474">
        <v>7700</v>
      </c>
      <c r="B474" t="s">
        <v>20</v>
      </c>
    </row>
    <row r="475" spans="1:2" x14ac:dyDescent="0.25">
      <c r="A475">
        <v>116300</v>
      </c>
      <c r="B475" t="s">
        <v>20</v>
      </c>
    </row>
    <row r="476" spans="1:2" x14ac:dyDescent="0.25">
      <c r="A476">
        <v>9100</v>
      </c>
      <c r="B476" t="s">
        <v>20</v>
      </c>
    </row>
    <row r="477" spans="1:2" x14ac:dyDescent="0.25">
      <c r="A477">
        <v>1500</v>
      </c>
      <c r="B477" t="s">
        <v>20</v>
      </c>
    </row>
    <row r="478" spans="1:2" x14ac:dyDescent="0.25">
      <c r="A478">
        <v>69900</v>
      </c>
      <c r="B478" t="s">
        <v>20</v>
      </c>
    </row>
    <row r="479" spans="1:2" x14ac:dyDescent="0.25">
      <c r="A479">
        <v>1000</v>
      </c>
      <c r="B479" t="s">
        <v>20</v>
      </c>
    </row>
    <row r="480" spans="1:2" x14ac:dyDescent="0.25">
      <c r="A480">
        <v>4700</v>
      </c>
      <c r="B480" t="s">
        <v>20</v>
      </c>
    </row>
    <row r="481" spans="1:2" x14ac:dyDescent="0.25">
      <c r="A481">
        <v>3200</v>
      </c>
      <c r="B481" t="s">
        <v>20</v>
      </c>
    </row>
    <row r="482" spans="1:2" x14ac:dyDescent="0.25">
      <c r="A482">
        <v>6700</v>
      </c>
      <c r="B482" t="s">
        <v>20</v>
      </c>
    </row>
    <row r="483" spans="1:2" x14ac:dyDescent="0.25">
      <c r="A483">
        <v>6000</v>
      </c>
      <c r="B483" t="s">
        <v>20</v>
      </c>
    </row>
    <row r="484" spans="1:2" x14ac:dyDescent="0.25">
      <c r="A484">
        <v>17100</v>
      </c>
      <c r="B484" t="s">
        <v>20</v>
      </c>
    </row>
    <row r="485" spans="1:2" x14ac:dyDescent="0.25">
      <c r="A485">
        <v>171000</v>
      </c>
      <c r="B485" t="s">
        <v>20</v>
      </c>
    </row>
    <row r="486" spans="1:2" x14ac:dyDescent="0.25">
      <c r="A486">
        <v>23400</v>
      </c>
      <c r="B486" t="s">
        <v>20</v>
      </c>
    </row>
    <row r="487" spans="1:2" x14ac:dyDescent="0.25">
      <c r="A487">
        <v>2400</v>
      </c>
      <c r="B487" t="s">
        <v>20</v>
      </c>
    </row>
    <row r="488" spans="1:2" x14ac:dyDescent="0.25">
      <c r="A488">
        <v>5300</v>
      </c>
      <c r="B488" t="s">
        <v>20</v>
      </c>
    </row>
    <row r="489" spans="1:2" x14ac:dyDescent="0.25">
      <c r="A489">
        <v>2000</v>
      </c>
      <c r="B489" t="s">
        <v>20</v>
      </c>
    </row>
    <row r="490" spans="1:2" x14ac:dyDescent="0.25">
      <c r="A490">
        <v>8800</v>
      </c>
      <c r="B490" t="s">
        <v>20</v>
      </c>
    </row>
    <row r="491" spans="1:2" x14ac:dyDescent="0.25">
      <c r="A491">
        <v>3500</v>
      </c>
      <c r="B491" t="s">
        <v>20</v>
      </c>
    </row>
    <row r="492" spans="1:2" x14ac:dyDescent="0.25">
      <c r="A492">
        <v>1400</v>
      </c>
      <c r="B492" t="s">
        <v>20</v>
      </c>
    </row>
    <row r="493" spans="1:2" x14ac:dyDescent="0.25">
      <c r="A493">
        <v>4200</v>
      </c>
      <c r="B493" t="s">
        <v>20</v>
      </c>
    </row>
    <row r="494" spans="1:2" x14ac:dyDescent="0.25">
      <c r="A494">
        <v>81000</v>
      </c>
      <c r="B494" t="s">
        <v>20</v>
      </c>
    </row>
    <row r="495" spans="1:2" x14ac:dyDescent="0.25">
      <c r="A495">
        <v>4800</v>
      </c>
      <c r="B495" t="s">
        <v>20</v>
      </c>
    </row>
    <row r="496" spans="1:2" x14ac:dyDescent="0.25">
      <c r="A496">
        <v>7000</v>
      </c>
      <c r="B496" t="s">
        <v>20</v>
      </c>
    </row>
    <row r="497" spans="1:2" x14ac:dyDescent="0.25">
      <c r="A497">
        <v>71500</v>
      </c>
      <c r="B497" t="s">
        <v>20</v>
      </c>
    </row>
    <row r="498" spans="1:2" x14ac:dyDescent="0.25">
      <c r="A498">
        <v>4700</v>
      </c>
      <c r="B498" t="s">
        <v>20</v>
      </c>
    </row>
    <row r="499" spans="1:2" x14ac:dyDescent="0.25">
      <c r="A499">
        <v>42100</v>
      </c>
      <c r="B499" t="s">
        <v>20</v>
      </c>
    </row>
    <row r="500" spans="1:2" x14ac:dyDescent="0.25">
      <c r="A500">
        <v>40200</v>
      </c>
      <c r="B500" t="s">
        <v>20</v>
      </c>
    </row>
    <row r="501" spans="1:2" x14ac:dyDescent="0.25">
      <c r="A501">
        <v>1000</v>
      </c>
      <c r="B501" t="s">
        <v>20</v>
      </c>
    </row>
    <row r="502" spans="1:2" x14ac:dyDescent="0.25">
      <c r="A502">
        <v>84500</v>
      </c>
      <c r="B502" t="s">
        <v>20</v>
      </c>
    </row>
    <row r="503" spans="1:2" x14ac:dyDescent="0.25">
      <c r="A503">
        <v>800</v>
      </c>
      <c r="B503" t="s">
        <v>20</v>
      </c>
    </row>
    <row r="504" spans="1:2" x14ac:dyDescent="0.25">
      <c r="A504">
        <v>3400</v>
      </c>
      <c r="B504" t="s">
        <v>20</v>
      </c>
    </row>
    <row r="505" spans="1:2" x14ac:dyDescent="0.25">
      <c r="A505">
        <v>1800</v>
      </c>
      <c r="B505" t="s">
        <v>20</v>
      </c>
    </row>
    <row r="506" spans="1:2" x14ac:dyDescent="0.25">
      <c r="A506">
        <v>5800</v>
      </c>
      <c r="B506" t="s">
        <v>20</v>
      </c>
    </row>
    <row r="507" spans="1:2" x14ac:dyDescent="0.25">
      <c r="A507">
        <v>5600</v>
      </c>
      <c r="B507" t="s">
        <v>20</v>
      </c>
    </row>
    <row r="508" spans="1:2" x14ac:dyDescent="0.25">
      <c r="A508">
        <v>134400</v>
      </c>
      <c r="B508" t="s">
        <v>20</v>
      </c>
    </row>
    <row r="509" spans="1:2" x14ac:dyDescent="0.25">
      <c r="A509">
        <v>3000</v>
      </c>
      <c r="B509" t="s">
        <v>20</v>
      </c>
    </row>
    <row r="510" spans="1:2" x14ac:dyDescent="0.25">
      <c r="A510">
        <v>6000</v>
      </c>
      <c r="B510" t="s">
        <v>20</v>
      </c>
    </row>
    <row r="511" spans="1:2" x14ac:dyDescent="0.25">
      <c r="A511">
        <v>8400</v>
      </c>
      <c r="B511" t="s">
        <v>20</v>
      </c>
    </row>
    <row r="512" spans="1:2" x14ac:dyDescent="0.25">
      <c r="A512">
        <v>1700</v>
      </c>
      <c r="B512" t="s">
        <v>20</v>
      </c>
    </row>
    <row r="513" spans="1:2" x14ac:dyDescent="0.25">
      <c r="A513">
        <v>19800</v>
      </c>
      <c r="B513" t="s">
        <v>20</v>
      </c>
    </row>
    <row r="514" spans="1:2" x14ac:dyDescent="0.25">
      <c r="A514">
        <v>3100</v>
      </c>
      <c r="B514" t="s">
        <v>20</v>
      </c>
    </row>
    <row r="515" spans="1:2" x14ac:dyDescent="0.25">
      <c r="A515">
        <v>5600</v>
      </c>
      <c r="B515" t="s">
        <v>20</v>
      </c>
    </row>
    <row r="516" spans="1:2" x14ac:dyDescent="0.25">
      <c r="A516">
        <v>1400</v>
      </c>
      <c r="B516" t="s">
        <v>20</v>
      </c>
    </row>
    <row r="517" spans="1:2" x14ac:dyDescent="0.25">
      <c r="A517">
        <v>7900</v>
      </c>
      <c r="B517" t="s">
        <v>20</v>
      </c>
    </row>
    <row r="518" spans="1:2" x14ac:dyDescent="0.25">
      <c r="A518">
        <v>5500</v>
      </c>
      <c r="B518" t="s">
        <v>20</v>
      </c>
    </row>
    <row r="519" spans="1:2" x14ac:dyDescent="0.25">
      <c r="A519">
        <v>38200</v>
      </c>
      <c r="B519" t="s">
        <v>20</v>
      </c>
    </row>
    <row r="520" spans="1:2" x14ac:dyDescent="0.25">
      <c r="A520">
        <v>1800</v>
      </c>
      <c r="B520" t="s">
        <v>20</v>
      </c>
    </row>
    <row r="521" spans="1:2" x14ac:dyDescent="0.25">
      <c r="A521">
        <v>5800</v>
      </c>
      <c r="B521" t="s">
        <v>20</v>
      </c>
    </row>
    <row r="522" spans="1:2" x14ac:dyDescent="0.25">
      <c r="A522">
        <v>1800</v>
      </c>
      <c r="B522" t="s">
        <v>20</v>
      </c>
    </row>
    <row r="523" spans="1:2" x14ac:dyDescent="0.25">
      <c r="A523">
        <v>125900</v>
      </c>
      <c r="B523" t="s">
        <v>20</v>
      </c>
    </row>
    <row r="524" spans="1:2" x14ac:dyDescent="0.25">
      <c r="A524">
        <v>3800</v>
      </c>
      <c r="B524" t="s">
        <v>20</v>
      </c>
    </row>
    <row r="525" spans="1:2" x14ac:dyDescent="0.25">
      <c r="A525">
        <v>5300</v>
      </c>
      <c r="B525" t="s">
        <v>20</v>
      </c>
    </row>
    <row r="526" spans="1:2" x14ac:dyDescent="0.25">
      <c r="A526">
        <v>51400</v>
      </c>
      <c r="B526" t="s">
        <v>20</v>
      </c>
    </row>
    <row r="527" spans="1:2" x14ac:dyDescent="0.25">
      <c r="A527">
        <v>1700</v>
      </c>
      <c r="B527" t="s">
        <v>20</v>
      </c>
    </row>
    <row r="528" spans="1:2" x14ac:dyDescent="0.25">
      <c r="A528">
        <v>39400</v>
      </c>
      <c r="B528" t="s">
        <v>20</v>
      </c>
    </row>
    <row r="529" spans="1:2" x14ac:dyDescent="0.25">
      <c r="A529">
        <v>3000</v>
      </c>
      <c r="B529" t="s">
        <v>20</v>
      </c>
    </row>
    <row r="530" spans="1:2" x14ac:dyDescent="0.25">
      <c r="A530">
        <v>167400</v>
      </c>
      <c r="B530" t="s">
        <v>20</v>
      </c>
    </row>
    <row r="531" spans="1:2" x14ac:dyDescent="0.25">
      <c r="A531">
        <v>5500</v>
      </c>
      <c r="B531" t="s">
        <v>20</v>
      </c>
    </row>
    <row r="532" spans="1:2" x14ac:dyDescent="0.25">
      <c r="A532">
        <v>3500</v>
      </c>
      <c r="B532" t="s">
        <v>20</v>
      </c>
    </row>
    <row r="533" spans="1:2" x14ac:dyDescent="0.25">
      <c r="A533">
        <v>2300</v>
      </c>
      <c r="B533" t="s">
        <v>20</v>
      </c>
    </row>
    <row r="534" spans="1:2" x14ac:dyDescent="0.25">
      <c r="A534">
        <v>73000</v>
      </c>
      <c r="B534" t="s">
        <v>20</v>
      </c>
    </row>
    <row r="535" spans="1:2" x14ac:dyDescent="0.25">
      <c r="A535">
        <v>6200</v>
      </c>
      <c r="B535" t="s">
        <v>20</v>
      </c>
    </row>
    <row r="536" spans="1:2" x14ac:dyDescent="0.25">
      <c r="A536">
        <v>6100</v>
      </c>
      <c r="B536" t="s">
        <v>20</v>
      </c>
    </row>
    <row r="537" spans="1:2" x14ac:dyDescent="0.25">
      <c r="A537">
        <v>9200</v>
      </c>
      <c r="B537" t="s">
        <v>20</v>
      </c>
    </row>
    <row r="538" spans="1:2" x14ac:dyDescent="0.25">
      <c r="A538">
        <v>7500</v>
      </c>
      <c r="B538" t="s">
        <v>20</v>
      </c>
    </row>
    <row r="539" spans="1:2" x14ac:dyDescent="0.25">
      <c r="A539">
        <v>5900</v>
      </c>
      <c r="B539" t="s">
        <v>20</v>
      </c>
    </row>
    <row r="540" spans="1:2" x14ac:dyDescent="0.25">
      <c r="A540">
        <v>14500</v>
      </c>
      <c r="B540" t="s">
        <v>20</v>
      </c>
    </row>
    <row r="541" spans="1:2" x14ac:dyDescent="0.25">
      <c r="A541">
        <v>42600</v>
      </c>
      <c r="B541" t="s">
        <v>20</v>
      </c>
    </row>
    <row r="542" spans="1:2" x14ac:dyDescent="0.25">
      <c r="A542">
        <v>700</v>
      </c>
      <c r="B542" t="s">
        <v>20</v>
      </c>
    </row>
    <row r="543" spans="1:2" x14ac:dyDescent="0.25">
      <c r="A543">
        <v>9800</v>
      </c>
      <c r="B543" t="s">
        <v>20</v>
      </c>
    </row>
    <row r="544" spans="1:2" x14ac:dyDescent="0.25">
      <c r="A544">
        <v>1100</v>
      </c>
      <c r="B544" t="s">
        <v>20</v>
      </c>
    </row>
    <row r="545" spans="1:2" x14ac:dyDescent="0.25">
      <c r="A545">
        <v>5700</v>
      </c>
      <c r="B545" t="s">
        <v>20</v>
      </c>
    </row>
    <row r="546" spans="1:2" x14ac:dyDescent="0.25">
      <c r="A546">
        <v>3600</v>
      </c>
      <c r="B546" t="s">
        <v>20</v>
      </c>
    </row>
    <row r="547" spans="1:2" x14ac:dyDescent="0.25">
      <c r="A547">
        <v>3700</v>
      </c>
      <c r="B547" t="s">
        <v>20</v>
      </c>
    </row>
    <row r="548" spans="1:2" x14ac:dyDescent="0.25">
      <c r="A548">
        <v>2200</v>
      </c>
      <c r="B548" t="s">
        <v>20</v>
      </c>
    </row>
    <row r="549" spans="1:2" x14ac:dyDescent="0.25">
      <c r="A549">
        <v>1700</v>
      </c>
      <c r="B549" t="s">
        <v>20</v>
      </c>
    </row>
    <row r="550" spans="1:2" x14ac:dyDescent="0.25">
      <c r="A550">
        <v>88400</v>
      </c>
      <c r="B550" t="s">
        <v>20</v>
      </c>
    </row>
    <row r="551" spans="1:2" x14ac:dyDescent="0.25">
      <c r="A551">
        <v>2400</v>
      </c>
      <c r="B551" t="s">
        <v>20</v>
      </c>
    </row>
    <row r="552" spans="1:2" x14ac:dyDescent="0.25">
      <c r="A552">
        <v>7900</v>
      </c>
      <c r="B552" t="s">
        <v>20</v>
      </c>
    </row>
    <row r="553" spans="1:2" x14ac:dyDescent="0.25">
      <c r="A553">
        <v>42700</v>
      </c>
      <c r="B553" t="s">
        <v>20</v>
      </c>
    </row>
    <row r="554" spans="1:2" x14ac:dyDescent="0.25">
      <c r="A554">
        <v>800</v>
      </c>
      <c r="B554" t="s">
        <v>20</v>
      </c>
    </row>
    <row r="555" spans="1:2" x14ac:dyDescent="0.25">
      <c r="A555">
        <v>5400</v>
      </c>
      <c r="B555" t="s">
        <v>20</v>
      </c>
    </row>
    <row r="556" spans="1:2" x14ac:dyDescent="0.25">
      <c r="A556">
        <v>4000</v>
      </c>
      <c r="B556" t="s">
        <v>20</v>
      </c>
    </row>
    <row r="557" spans="1:2" x14ac:dyDescent="0.25">
      <c r="A557">
        <v>1000</v>
      </c>
      <c r="B557" t="s">
        <v>20</v>
      </c>
    </row>
    <row r="558" spans="1:2" x14ac:dyDescent="0.25">
      <c r="A558">
        <v>60200</v>
      </c>
      <c r="B558" t="s">
        <v>20</v>
      </c>
    </row>
    <row r="559" spans="1:2" x14ac:dyDescent="0.25">
      <c r="A559">
        <v>6700</v>
      </c>
      <c r="B559" t="s">
        <v>20</v>
      </c>
    </row>
    <row r="560" spans="1:2" x14ac:dyDescent="0.25">
      <c r="A560">
        <v>129100</v>
      </c>
      <c r="B560" t="s">
        <v>20</v>
      </c>
    </row>
    <row r="561" spans="1:2" x14ac:dyDescent="0.25">
      <c r="A561">
        <v>6500</v>
      </c>
      <c r="B561" t="s">
        <v>20</v>
      </c>
    </row>
    <row r="562" spans="1:2" x14ac:dyDescent="0.25">
      <c r="A562">
        <v>6200</v>
      </c>
      <c r="B562" t="s">
        <v>20</v>
      </c>
    </row>
    <row r="563" spans="1:2" x14ac:dyDescent="0.25">
      <c r="A563">
        <v>2400</v>
      </c>
      <c r="B563" t="s">
        <v>20</v>
      </c>
    </row>
    <row r="564" spans="1:2" x14ac:dyDescent="0.25">
      <c r="A564">
        <v>9800</v>
      </c>
      <c r="B564" t="s">
        <v>20</v>
      </c>
    </row>
    <row r="565" spans="1:2" x14ac:dyDescent="0.25">
      <c r="A565">
        <v>3100</v>
      </c>
      <c r="B565" t="s">
        <v>20</v>
      </c>
    </row>
    <row r="566" spans="1:2" x14ac:dyDescent="0.25">
      <c r="A566">
        <v>97300</v>
      </c>
      <c r="B566" t="s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By Parent Category</vt:lpstr>
      <vt:lpstr>By Sub Category</vt:lpstr>
      <vt:lpstr>By Date Created</vt:lpstr>
      <vt:lpstr>Goals</vt:lpstr>
      <vt:lpstr>Summary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Kendall Fong</cp:lastModifiedBy>
  <dcterms:created xsi:type="dcterms:W3CDTF">2021-09-29T18:52:28Z</dcterms:created>
  <dcterms:modified xsi:type="dcterms:W3CDTF">2023-08-11T04:54:57Z</dcterms:modified>
</cp:coreProperties>
</file>